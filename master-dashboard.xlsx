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ipeline" sheetId="2" state="visible" r:id="rId2"/>
    <sheet name="Pricing" sheetId="3" state="visible" r:id="rId3"/>
    <sheet name="Revenue" sheetId="4" state="visible" r:id="rId4"/>
    <sheet name="Habits" sheetId="5" state="visible" r:id="rId5"/>
    <sheet name="Lookup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yyyy-mm-dd"/>
    <numFmt numFmtId="166" formatCode="MMM D, YYYY"/>
    <numFmt numFmtId="167" formatCode="MMM D"/>
  </numFmts>
  <fonts count="56">
    <font>
      <name val="Calibri"/>
      <family val="2"/>
      <color theme="1"/>
      <sz val="11"/>
      <scheme val="minor"/>
    </font>
    <font>
      <name val="Calibri"/>
      <b val="1"/>
      <color rgb="FFE2B04A"/>
      <sz val="15"/>
    </font>
    <font>
      <name val="Calibri"/>
      <b val="1"/>
      <color rgb="FFE2B04A"/>
      <sz val="11"/>
    </font>
    <font>
      <name val="Calibri"/>
      <i val="1"/>
      <color rgb="FF8892A4"/>
      <sz val="8"/>
    </font>
    <font>
      <name val="Calibri"/>
      <b val="1"/>
      <color rgb="FFE2B04A"/>
      <sz val="20"/>
    </font>
    <font>
      <name val="Calibri"/>
      <b val="1"/>
      <color rgb="FF2ECC71"/>
      <sz val="20"/>
    </font>
    <font>
      <name val="Calibri"/>
      <b val="1"/>
      <color rgb="FF3498DB"/>
      <sz val="20"/>
    </font>
    <font>
      <name val="Calibri"/>
      <b val="1"/>
      <color rgb="FFE67E22"/>
      <sz val="20"/>
    </font>
    <font>
      <name val="Calibri"/>
      <b val="1"/>
      <color rgb="FF9B59B6"/>
      <sz val="20"/>
    </font>
    <font>
      <name val="Calibri"/>
      <b val="1"/>
      <color rgb="FFF0F0F0"/>
      <sz val="20"/>
    </font>
    <font>
      <name val="Calibri"/>
      <b val="1"/>
      <color rgb="FFE2B04A"/>
      <sz val="8"/>
    </font>
    <font>
      <name val="Calibri"/>
      <b val="1"/>
      <color rgb="FFF0F0F0"/>
      <sz val="9"/>
    </font>
    <font>
      <name val="Calibri"/>
      <color rgb="FF8892A4"/>
      <sz val="9"/>
    </font>
    <font>
      <name val="Calibri"/>
      <color rgb="FFE2B04A"/>
      <sz val="9"/>
    </font>
    <font>
      <name val="Calibri"/>
      <b val="1"/>
      <color rgb="FFE67E22"/>
      <sz val="9"/>
    </font>
    <font>
      <name val="Calibri"/>
      <b val="1"/>
      <color rgb="FF3498DB"/>
      <sz val="9"/>
    </font>
    <font>
      <name val="Calibri"/>
      <b val="1"/>
      <color rgb="FF2ECC71"/>
      <sz val="9"/>
    </font>
    <font>
      <name val="Calibri"/>
      <b val="1"/>
      <color rgb="FF9B59B6"/>
      <sz val="9"/>
    </font>
    <font>
      <name val="Calibri"/>
      <b val="1"/>
      <color rgb="FF8892A4"/>
      <sz val="9"/>
    </font>
    <font>
      <name val="Calibri"/>
      <color rgb="FF2ECC71"/>
      <sz val="9"/>
    </font>
    <font>
      <name val="Calibri"/>
      <b val="1"/>
      <color rgb="FFE2B04A"/>
      <sz val="12"/>
    </font>
    <font>
      <name val="Calibri"/>
      <b val="1"/>
      <color rgb="FFE2B04A"/>
      <sz val="14"/>
    </font>
    <font>
      <name val="Calibri"/>
      <b val="1"/>
      <color rgb="FF2ECC71"/>
      <sz val="14"/>
    </font>
    <font>
      <name val="Calibri"/>
      <b val="1"/>
      <color rgb="FF3498DB"/>
      <sz val="14"/>
    </font>
    <font>
      <name val="Calibri"/>
      <b val="1"/>
      <color rgb="FFE67E22"/>
      <sz val="14"/>
    </font>
    <font>
      <name val="Calibri"/>
      <b val="1"/>
      <color rgb="FF9B59B6"/>
      <sz val="14"/>
    </font>
    <font>
      <name val="Calibri"/>
      <b val="1"/>
      <color rgb="FFE2B04A"/>
      <sz val="9"/>
    </font>
    <font>
      <name val="Calibri"/>
      <color rgb="FFF0F0F0"/>
      <sz val="8"/>
    </font>
    <font>
      <name val="Calibri"/>
      <color rgb="FFE67E22"/>
      <sz val="9"/>
    </font>
    <font>
      <name val="Calibri"/>
      <b val="1"/>
      <color rgb="FF2C2C3E"/>
      <sz val="9"/>
    </font>
    <font>
      <name val="Calibri"/>
      <b val="1"/>
      <color rgb="FFE74C3C"/>
      <sz val="9"/>
    </font>
    <font>
      <name val="Calibri"/>
      <b val="1"/>
      <color rgb="FFE2B04A"/>
      <sz val="18"/>
    </font>
    <font>
      <name val="Calibri"/>
      <color rgb="FFF0F0F0"/>
      <sz val="9"/>
    </font>
    <font>
      <name val="Calibri"/>
      <color rgb="FF8892A4"/>
      <sz val="8"/>
    </font>
    <font>
      <name val="Calibri"/>
      <b val="1"/>
      <color rgb="FF3498DB"/>
      <sz val="11"/>
    </font>
    <font>
      <name val="Calibri"/>
      <b val="1"/>
      <color rgb="FF3498DB"/>
      <sz val="18"/>
    </font>
    <font>
      <name val="Calibri"/>
      <b val="1"/>
      <color rgb="FFE67E22"/>
      <sz val="16"/>
    </font>
    <font>
      <name val="Calibri"/>
      <b val="1"/>
      <color rgb="FFE2B04A"/>
      <sz val="10"/>
    </font>
    <font>
      <name val="Calibri"/>
      <b val="1"/>
      <color rgb="FF8892A4"/>
      <sz val="15"/>
    </font>
    <font>
      <name val="Calibri"/>
      <b val="1"/>
      <color rgb="FFE67E22"/>
      <sz val="15"/>
    </font>
    <font>
      <name val="Calibri"/>
      <b val="1"/>
      <color rgb="FF2ECC71"/>
      <sz val="15"/>
    </font>
    <font>
      <name val="Calibri"/>
      <b val="1"/>
      <color rgb="FFE74C3C"/>
      <sz val="15"/>
    </font>
    <font>
      <name val="Calibri"/>
      <color rgb="FF3498DB"/>
      <sz val="9"/>
    </font>
    <font>
      <name val="Calibri"/>
      <color rgb="FFE74C3C"/>
      <sz val="9"/>
    </font>
    <font>
      <name val="Calibri"/>
      <b val="1"/>
      <color rgb="FFF0F0F0"/>
      <sz val="12"/>
    </font>
    <font>
      <name val="Calibri"/>
      <color rgb="FFE2B04A"/>
      <sz val="10"/>
    </font>
    <font>
      <name val="Calibri"/>
      <b val="1"/>
      <color rgb="FFE2B04A"/>
      <sz val="16"/>
    </font>
    <font>
      <name val="Calibri"/>
      <b val="1"/>
      <color rgb="FF9B59B6"/>
      <sz val="11"/>
    </font>
    <font>
      <name val="Calibri"/>
      <b val="1"/>
      <color rgb="FF2ECC71"/>
      <sz val="12"/>
    </font>
    <font>
      <name val="Calibri"/>
      <color rgb="FFE2B04A"/>
      <sz val="11"/>
    </font>
    <font>
      <name val="Calibri"/>
      <b val="1"/>
      <color rgb="FF2ECC71"/>
      <sz val="11"/>
    </font>
    <font>
      <name val="Calibri"/>
      <b val="1"/>
      <color rgb="FF2ECC71"/>
      <sz val="8"/>
    </font>
    <font>
      <name val="Calibri"/>
      <b val="1"/>
      <color rgb="FF9B59B6"/>
      <sz val="8"/>
    </font>
    <font>
      <name val="Calibri"/>
      <b val="1"/>
      <color rgb="FF3498DB"/>
      <sz val="8"/>
    </font>
    <font>
      <name val="Calibri"/>
      <color rgb="FF9B59B6"/>
      <sz val="9"/>
    </font>
    <font>
      <name val="Calibri"/>
      <color rgb="FFE2B04A"/>
      <sz val="8"/>
    </font>
  </fonts>
  <fills count="9">
    <fill>
      <patternFill/>
    </fill>
    <fill>
      <patternFill patternType="gray125"/>
    </fill>
    <fill>
      <patternFill patternType="solid">
        <fgColor rgb="FF0D0D0D"/>
      </patternFill>
    </fill>
    <fill>
      <patternFill patternType="solid">
        <fgColor rgb="FF1A1A2E"/>
      </patternFill>
    </fill>
    <fill>
      <patternFill patternType="solid">
        <fgColor rgb="FF3D2B0A"/>
      </patternFill>
    </fill>
    <fill>
      <patternFill patternType="solid">
        <fgColor rgb="FF111118"/>
      </patternFill>
    </fill>
    <fill>
      <patternFill patternType="solid">
        <fgColor rgb="FF0A3320"/>
      </patternFill>
    </fill>
    <fill>
      <patternFill patternType="solid">
        <fgColor rgb="FF2D1040"/>
      </patternFill>
    </fill>
    <fill>
      <patternFill patternType="solid">
        <fgColor rgb="FF0D2A3D"/>
      </patternFill>
    </fill>
  </fills>
  <borders count="8">
    <border>
      <left/>
      <right/>
      <top/>
      <bottom/>
      <diagonal/>
    </border>
    <border>
      <left style="medium">
        <color rgb="FFE2B04A"/>
      </left>
      <bottom style="thin">
        <color rgb="FFE2B04A"/>
      </bottom>
    </border>
    <border>
      <left style="medium">
        <color rgb="FFE2B04A"/>
      </left>
      <bottom style="thin">
        <color rgb="FF2C2C3E"/>
      </bottom>
    </border>
    <border>
      <bottom style="medium">
        <color rgb="FFE2B04A"/>
      </bottom>
    </border>
    <border>
      <left style="medium">
        <color rgb="FF3498DB"/>
      </left>
      <bottom style="thin">
        <color rgb="FF3498DB"/>
      </bottom>
    </border>
    <border>
      <left style="medium">
        <color rgb="FF2ECC71"/>
      </left>
      <bottom style="thin">
        <color rgb="FF2ECC71"/>
      </bottom>
    </border>
    <border>
      <left style="medium">
        <color rgb="FF9B59B6"/>
      </left>
      <bottom style="thin">
        <color rgb="FF9B59B6"/>
      </bottom>
    </border>
    <border>
      <left style="thin">
        <color rgb="FFE2B04A"/>
      </left>
      <right style="thin">
        <color rgb="FFE2B04A"/>
      </right>
      <top style="thin">
        <color rgb="FFE2B04A"/>
      </top>
      <bottom style="thin">
        <color rgb="FFE2B04A"/>
      </bottom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0" fillId="3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4" borderId="3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164" fontId="13" fillId="3" borderId="0" applyAlignment="1" pivotButton="0" quotePrefix="0" xfId="0">
      <alignment horizontal="right" vertical="center"/>
    </xf>
    <xf numFmtId="0" fontId="14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19" fillId="3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left" vertical="center"/>
    </xf>
    <xf numFmtId="164" fontId="13" fillId="5" borderId="0" applyAlignment="1" pivotButton="0" quotePrefix="0" xfId="0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7" fillId="5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20" fillId="4" borderId="2" applyAlignment="1" pivotButton="0" quotePrefix="0" xfId="0">
      <alignment horizontal="center" vertical="center"/>
    </xf>
    <xf numFmtId="0" fontId="21" fillId="3" borderId="1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0" fillId="5" borderId="0" pivotButton="0" quotePrefix="0" xfId="0"/>
    <xf numFmtId="164" fontId="21" fillId="5" borderId="0" applyAlignment="1" pivotButton="0" quotePrefix="0" xfId="0">
      <alignment horizontal="left" vertical="center"/>
    </xf>
    <xf numFmtId="164" fontId="22" fillId="5" borderId="0" applyAlignment="1" pivotButton="0" quotePrefix="0" xfId="0">
      <alignment horizontal="left" vertical="center"/>
    </xf>
    <xf numFmtId="0" fontId="23" fillId="5" borderId="0" applyAlignment="1" pivotButton="0" quotePrefix="0" xfId="0">
      <alignment horizontal="left" vertical="center"/>
    </xf>
    <xf numFmtId="9" fontId="24" fillId="5" borderId="0" applyAlignment="1" pivotButton="0" quotePrefix="0" xfId="0">
      <alignment horizontal="left" vertical="center"/>
    </xf>
    <xf numFmtId="0" fontId="25" fillId="5" borderId="0" applyAlignment="1" pivotButton="0" quotePrefix="0" xfId="0">
      <alignment horizontal="left" vertical="center"/>
    </xf>
    <xf numFmtId="0" fontId="26" fillId="4" borderId="3" applyAlignment="1" pivotButton="0" quotePrefix="0" xfId="0">
      <alignment horizontal="center" vertical="center"/>
    </xf>
    <xf numFmtId="164" fontId="26" fillId="3" borderId="0" applyAlignment="1" pivotButton="0" quotePrefix="0" xfId="0">
      <alignment horizontal="right" vertical="center"/>
    </xf>
    <xf numFmtId="166" fontId="12" fillId="3" borderId="0" applyAlignment="1" pivotButton="0" quotePrefix="0" xfId="0">
      <alignment horizontal="center" vertical="center"/>
    </xf>
    <xf numFmtId="0" fontId="27" fillId="3" borderId="0" applyAlignment="1" pivotButton="0" quotePrefix="0" xfId="0">
      <alignment horizontal="left" vertical="center" wrapText="1"/>
    </xf>
    <xf numFmtId="0" fontId="12" fillId="3" borderId="0" applyAlignment="1" pivotButton="0" quotePrefix="0" xfId="0">
      <alignment horizontal="center" vertical="center"/>
    </xf>
    <xf numFmtId="0" fontId="28" fillId="3" borderId="0" applyAlignment="1" pivotButton="0" quotePrefix="0" xfId="0">
      <alignment horizontal="center" vertical="center"/>
    </xf>
    <xf numFmtId="164" fontId="26" fillId="5" borderId="0" applyAlignment="1" pivotButton="0" quotePrefix="0" xfId="0">
      <alignment horizontal="right" vertical="center"/>
    </xf>
    <xf numFmtId="166" fontId="12" fillId="5" borderId="0" applyAlignment="1" pivotButton="0" quotePrefix="0" xfId="0">
      <alignment horizontal="center" vertical="center"/>
    </xf>
    <xf numFmtId="0" fontId="27" fillId="5" borderId="0" applyAlignment="1" pivotButton="0" quotePrefix="0" xfId="0">
      <alignment horizontal="left" vertical="center" wrapText="1"/>
    </xf>
    <xf numFmtId="0" fontId="12" fillId="5" borderId="0" applyAlignment="1" pivotButton="0" quotePrefix="0" xfId="0">
      <alignment horizontal="center" vertical="center"/>
    </xf>
    <xf numFmtId="0" fontId="28" fillId="5" borderId="0" applyAlignment="1" pivotButton="0" quotePrefix="0" xfId="0">
      <alignment horizontal="center" vertical="center"/>
    </xf>
    <xf numFmtId="0" fontId="19" fillId="5" borderId="0" applyAlignment="1" pivotButton="0" quotePrefix="0" xfId="0">
      <alignment horizontal="center" vertical="center"/>
    </xf>
    <xf numFmtId="0" fontId="29" fillId="5" borderId="0" applyAlignment="1" pivotButton="0" quotePrefix="0" xfId="0">
      <alignment horizontal="center" vertical="center"/>
    </xf>
    <xf numFmtId="0" fontId="30" fillId="5" borderId="0" applyAlignment="1" pivotButton="0" quotePrefix="0" xfId="0">
      <alignment horizontal="center" vertical="center"/>
    </xf>
    <xf numFmtId="0" fontId="34" fillId="3" borderId="4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0" fillId="4" borderId="0" pivotButton="0" quotePrefix="0" xfId="0"/>
    <xf numFmtId="0" fontId="12" fillId="4" borderId="0" applyAlignment="1" pivotButton="0" quotePrefix="0" xfId="0">
      <alignment horizontal="left" vertical="center"/>
    </xf>
    <xf numFmtId="0" fontId="31" fillId="3" borderId="0" applyAlignment="1" pivotButton="0" quotePrefix="0" xfId="0">
      <alignment horizontal="center" vertical="center"/>
    </xf>
    <xf numFmtId="0" fontId="35" fillId="3" borderId="0" applyAlignment="1" pivotButton="0" quotePrefix="0" xfId="0">
      <alignment horizontal="center" vertical="center"/>
    </xf>
    <xf numFmtId="0" fontId="36" fillId="4" borderId="0" applyAlignment="1" pivotButton="0" quotePrefix="0" xfId="0">
      <alignment horizontal="center" vertical="center"/>
    </xf>
    <xf numFmtId="0" fontId="32" fillId="3" borderId="0" applyAlignment="1" pivotButton="0" quotePrefix="0" xfId="0">
      <alignment horizontal="left" vertical="top" wrapText="1"/>
    </xf>
    <xf numFmtId="0" fontId="32" fillId="4" borderId="0" applyAlignment="1" pivotButton="0" quotePrefix="0" xfId="0">
      <alignment horizontal="left" vertical="top" wrapText="1"/>
    </xf>
    <xf numFmtId="0" fontId="33" fillId="3" borderId="0" applyAlignment="1" pivotButton="0" quotePrefix="0" xfId="0">
      <alignment horizontal="left" vertical="center"/>
    </xf>
    <xf numFmtId="0" fontId="33" fillId="4" borderId="0" applyAlignment="1" pivotButton="0" quotePrefix="0" xfId="0">
      <alignment horizontal="left" vertical="center"/>
    </xf>
    <xf numFmtId="0" fontId="26" fillId="3" borderId="0" applyAlignment="1" pivotButton="0" quotePrefix="0" xfId="0">
      <alignment horizontal="left" vertical="center"/>
    </xf>
    <xf numFmtId="0" fontId="26" fillId="5" borderId="0" applyAlignment="1" pivotButton="0" quotePrefix="0" xfId="0">
      <alignment horizontal="left" vertical="center"/>
    </xf>
    <xf numFmtId="0" fontId="37" fillId="5" borderId="0" applyAlignment="1" pivotButton="0" quotePrefix="0" xfId="0">
      <alignment horizontal="left" vertical="center"/>
    </xf>
    <xf numFmtId="164" fontId="37" fillId="5" borderId="0" applyAlignment="1" pivotButton="0" quotePrefix="0" xfId="0">
      <alignment horizontal="right" vertical="center"/>
    </xf>
    <xf numFmtId="164" fontId="12" fillId="5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/>
    </xf>
    <xf numFmtId="164" fontId="31" fillId="4" borderId="0" applyAlignment="1" pivotButton="0" quotePrefix="0" xfId="0">
      <alignment horizontal="right" vertical="center"/>
    </xf>
    <xf numFmtId="164" fontId="1" fillId="3" borderId="0" applyAlignment="1" pivotButton="0" quotePrefix="0" xfId="0">
      <alignment horizontal="right" vertical="center"/>
    </xf>
    <xf numFmtId="0" fontId="38" fillId="3" borderId="0" applyAlignment="1" pivotButton="0" quotePrefix="0" xfId="0">
      <alignment horizontal="right" vertical="center"/>
    </xf>
    <xf numFmtId="164" fontId="39" fillId="3" borderId="0" applyAlignment="1" pivotButton="0" quotePrefix="0" xfId="0">
      <alignment horizontal="right" vertical="center"/>
    </xf>
    <xf numFmtId="164" fontId="40" fillId="3" borderId="0" applyAlignment="1" pivotButton="0" quotePrefix="0" xfId="0">
      <alignment horizontal="right" vertical="center"/>
    </xf>
    <xf numFmtId="164" fontId="41" fillId="3" borderId="0" applyAlignment="1" pivotButton="0" quotePrefix="0" xfId="0">
      <alignment horizontal="right" vertical="center"/>
    </xf>
    <xf numFmtId="164" fontId="12" fillId="3" borderId="0" applyAlignment="1" pivotButton="0" quotePrefix="0" xfId="0">
      <alignment horizontal="right" vertical="center"/>
    </xf>
    <xf numFmtId="164" fontId="19" fillId="3" borderId="0" applyAlignment="1" pivotButton="0" quotePrefix="0" xfId="0">
      <alignment horizontal="right" vertical="center"/>
    </xf>
    <xf numFmtId="9" fontId="26" fillId="3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left" vertical="center"/>
    </xf>
    <xf numFmtId="164" fontId="19" fillId="5" borderId="0" applyAlignment="1" pivotButton="0" quotePrefix="0" xfId="0">
      <alignment horizontal="right" vertical="center"/>
    </xf>
    <xf numFmtId="9" fontId="26" fillId="5" borderId="0" applyAlignment="1" pivotButton="0" quotePrefix="0" xfId="0">
      <alignment horizontal="center" vertical="center"/>
    </xf>
    <xf numFmtId="0" fontId="19" fillId="5" borderId="0" applyAlignment="1" pivotButton="0" quotePrefix="0" xfId="0">
      <alignment horizontal="left" vertical="center"/>
    </xf>
    <xf numFmtId="0" fontId="42" fillId="3" borderId="0" applyAlignment="1" pivotButton="0" quotePrefix="0" xfId="0">
      <alignment horizontal="left" vertical="center"/>
    </xf>
    <xf numFmtId="9" fontId="43" fillId="5" borderId="0" applyAlignment="1" pivotButton="0" quotePrefix="0" xfId="0">
      <alignment horizontal="center" vertical="center"/>
    </xf>
    <xf numFmtId="0" fontId="42" fillId="5" borderId="0" applyAlignment="1" pivotButton="0" quotePrefix="0" xfId="0">
      <alignment horizontal="left" vertical="center"/>
    </xf>
    <xf numFmtId="9" fontId="43" fillId="3" borderId="0" applyAlignment="1" pivotButton="0" quotePrefix="0" xfId="0">
      <alignment horizontal="center" vertical="center"/>
    </xf>
    <xf numFmtId="0" fontId="37" fillId="4" borderId="0" applyAlignment="1" pivotButton="0" quotePrefix="0" xfId="0">
      <alignment horizontal="left" vertical="center"/>
    </xf>
    <xf numFmtId="164" fontId="37" fillId="4" borderId="0" applyAlignment="1" pivotButton="0" quotePrefix="0" xfId="0">
      <alignment horizontal="right" vertical="center"/>
    </xf>
    <xf numFmtId="0" fontId="44" fillId="3" borderId="0" applyAlignment="1" pivotButton="0" quotePrefix="0" xfId="0">
      <alignment horizontal="left" vertical="center"/>
    </xf>
    <xf numFmtId="0" fontId="45" fillId="3" borderId="0" applyAlignment="1" pivotButton="0" quotePrefix="0" xfId="0">
      <alignment horizontal="left" vertical="center"/>
    </xf>
    <xf numFmtId="0" fontId="46" fillId="3" borderId="0" applyAlignment="1" pivotButton="0" quotePrefix="0" xfId="0">
      <alignment horizontal="left" vertical="center"/>
    </xf>
    <xf numFmtId="0" fontId="33" fillId="3" borderId="0" applyAlignment="1" pivotButton="0" quotePrefix="0" xfId="0">
      <alignment horizontal="right" vertical="center"/>
    </xf>
    <xf numFmtId="0" fontId="47" fillId="3" borderId="0" applyAlignment="1" pivotButton="0" quotePrefix="0" xfId="0">
      <alignment horizontal="left" vertical="center"/>
    </xf>
    <xf numFmtId="0" fontId="48" fillId="3" borderId="0" applyAlignment="1" pivotButton="0" quotePrefix="0" xfId="0">
      <alignment horizontal="left" vertical="center"/>
    </xf>
    <xf numFmtId="0" fontId="49" fillId="3" borderId="0" applyAlignment="1" pivotButton="0" quotePrefix="0" xfId="0">
      <alignment horizontal="left" vertical="center"/>
    </xf>
    <xf numFmtId="0" fontId="24" fillId="3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center" vertical="center"/>
    </xf>
    <xf numFmtId="0" fontId="32" fillId="4" borderId="0" applyAlignment="1" pivotButton="0" quotePrefix="0" xfId="0">
      <alignment horizontal="left" vertical="center"/>
    </xf>
    <xf numFmtId="0" fontId="26" fillId="4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50" fillId="3" borderId="5" applyAlignment="1" pivotButton="0" quotePrefix="0" xfId="0">
      <alignment horizontal="left" vertical="center"/>
    </xf>
    <xf numFmtId="0" fontId="51" fillId="6" borderId="0" applyAlignment="1" pivotButton="0" quotePrefix="0" xfId="0">
      <alignment horizontal="left" vertical="center"/>
    </xf>
    <xf numFmtId="0" fontId="51" fillId="6" borderId="0" applyAlignment="1" pivotButton="0" quotePrefix="0" xfId="0">
      <alignment horizontal="center" vertical="center"/>
    </xf>
    <xf numFmtId="0" fontId="32" fillId="6" borderId="0" applyAlignment="1" pivotButton="0" quotePrefix="0" xfId="0">
      <alignment horizontal="left" vertical="center"/>
    </xf>
    <xf numFmtId="0" fontId="16" fillId="6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left" vertical="center"/>
    </xf>
    <xf numFmtId="0" fontId="19" fillId="6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0" fontId="26" fillId="6" borderId="0" applyAlignment="1" pivotButton="0" quotePrefix="0" xfId="0">
      <alignment horizontal="center" vertical="center"/>
    </xf>
    <xf numFmtId="0" fontId="47" fillId="3" borderId="6" applyAlignment="1" pivotButton="0" quotePrefix="0" xfId="0">
      <alignment horizontal="left" vertical="center"/>
    </xf>
    <xf numFmtId="0" fontId="52" fillId="7" borderId="0" applyAlignment="1" pivotButton="0" quotePrefix="0" xfId="0">
      <alignment horizontal="left" vertical="center"/>
    </xf>
    <xf numFmtId="0" fontId="52" fillId="7" borderId="0" applyAlignment="1" pivotButton="0" quotePrefix="0" xfId="0">
      <alignment horizontal="center" vertical="center"/>
    </xf>
    <xf numFmtId="0" fontId="32" fillId="7" borderId="0" applyAlignment="1" pivotButton="0" quotePrefix="0" xfId="0">
      <alignment horizontal="left" vertical="center"/>
    </xf>
    <xf numFmtId="0" fontId="17" fillId="7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center" vertical="center"/>
    </xf>
    <xf numFmtId="0" fontId="26" fillId="7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53" fillId="8" borderId="0" applyAlignment="1" pivotButton="0" quotePrefix="0" xfId="0">
      <alignment horizontal="left" vertical="center"/>
    </xf>
    <xf numFmtId="0" fontId="53" fillId="8" borderId="0" applyAlignment="1" pivotButton="0" quotePrefix="0" xfId="0">
      <alignment horizontal="center" vertical="center"/>
    </xf>
    <xf numFmtId="0" fontId="32" fillId="8" borderId="0" applyAlignment="1" pivotButton="0" quotePrefix="0" xfId="0">
      <alignment horizontal="left" vertical="center"/>
    </xf>
    <xf numFmtId="0" fontId="15" fillId="8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left" vertical="center"/>
    </xf>
    <xf numFmtId="0" fontId="19" fillId="8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26" fillId="8" borderId="0" applyAlignment="1" pivotButton="0" quotePrefix="0" xfId="0">
      <alignment horizontal="center" vertical="center"/>
    </xf>
    <xf numFmtId="167" fontId="12" fillId="3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54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 vertical="center"/>
    </xf>
    <xf numFmtId="167" fontId="12" fillId="5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0" fontId="54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33" fillId="5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0" fontId="28" fillId="4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left" vertical="center"/>
    </xf>
    <xf numFmtId="0" fontId="55" fillId="4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left" vertical="center"/>
    </xf>
    <xf numFmtId="0" fontId="16" fillId="5" borderId="0" applyAlignment="1" pivotButton="0" quotePrefix="0" xfId="0">
      <alignment horizontal="center" vertical="center"/>
    </xf>
    <xf numFmtId="0" fontId="26" fillId="4" borderId="7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name val="Calibri"/>
        <b val="1"/>
        <color rgb="FF2ECC71"/>
        <sz val="9"/>
      </font>
      <fill>
        <patternFill patternType="solid">
          <fgColor rgb="FF0A3320"/>
        </patternFill>
      </fill>
    </dxf>
    <dxf>
      <font>
        <name val="Calibri"/>
        <color rgb="FF2C2C3E"/>
        <sz val="9"/>
      </font>
      <fill>
        <patternFill patternType="solid">
          <fgColor rgb="FF111118"/>
        </patternFill>
      </fill>
    </dxf>
    <dxf>
      <font>
        <name val="Calibri"/>
        <b val="1"/>
        <color rgb="FFE74C3C"/>
        <sz val="9"/>
      </font>
      <fill>
        <patternFill patternType="solid">
          <fgColor rgb="FF3D1010"/>
        </patternFill>
      </fill>
    </dxf>
    <dxf>
      <font>
        <name val="Calibri"/>
        <b val="1"/>
        <color rgb="FFE2B04A"/>
        <sz val="9"/>
      </font>
      <fill>
        <patternFill patternType="solid">
          <fgColor rgb="FF3D2B0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E2B04A"/>
    <outlinePr summaryBelow="1" summaryRight="1"/>
    <pageSetUpPr/>
  </sheetPr>
  <dimension ref="A1:I8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.5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4" customWidth="1" min="9" max="9"/>
  </cols>
  <sheetData>
    <row r="1" ht="22" customHeight="1">
      <c r="A1" s="1" t="n"/>
      <c r="B1" s="2" t="inlineStr">
        <is>
          <t xml:space="preserve">  ◈  CINEMATOGRAPHER  ·  MASTER DASHBOARD</t>
        </is>
      </c>
      <c r="I1" s="1" t="n"/>
    </row>
    <row r="2" ht="22" customHeight="1">
      <c r="A2" s="1" t="n"/>
      <c r="I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</row>
    <row r="4" ht="22" customHeight="1">
      <c r="A4" s="1" t="n"/>
      <c r="B4" s="3" t="inlineStr">
        <is>
          <t xml:space="preserve">  KPI OVERVIEW</t>
        </is>
      </c>
      <c r="I4" s="1" t="n"/>
    </row>
    <row r="5" ht="16" customHeight="1">
      <c r="A5" s="1" t="n"/>
      <c r="B5" s="4" t="inlineStr">
        <is>
          <t>MONTHLY REVENUE</t>
        </is>
      </c>
      <c r="C5" s="5" t="n"/>
      <c r="D5" s="4" t="inlineStr">
        <is>
          <t>PIPELINE VALUE</t>
        </is>
      </c>
      <c r="E5" s="4" t="inlineStr">
        <is>
          <t>BOOKED / MTH</t>
        </is>
      </c>
      <c r="F5" s="4" t="inlineStr">
        <is>
          <t>RESPONSE RATE</t>
        </is>
      </c>
      <c r="G5" s="4" t="inlineStr">
        <is>
          <t>HABITS TODAY</t>
        </is>
      </c>
      <c r="H5" s="4" t="inlineStr">
        <is>
          <t>LEVEL</t>
        </is>
      </c>
      <c r="I5" s="1" t="n"/>
    </row>
    <row r="6" ht="28" customHeight="1">
      <c r="A6" s="1" t="n"/>
      <c r="B6" s="6">
        <f>Revenue!D14</f>
        <v/>
      </c>
      <c r="C6" s="5" t="n"/>
      <c r="D6" s="7">
        <f>Pipeline!C3</f>
        <v/>
      </c>
      <c r="E6" s="8">
        <f>Pipeline!D3</f>
        <v/>
      </c>
      <c r="F6" s="9">
        <f>Pipeline!E3</f>
        <v/>
      </c>
      <c r="G6" s="10">
        <f>Habits!B6</f>
        <v/>
      </c>
      <c r="H6" s="11">
        <f>Habits!D4</f>
        <v/>
      </c>
      <c r="I6" s="1" t="n"/>
    </row>
    <row r="7" ht="18" customHeight="1">
      <c r="A7" s="1" t="n"/>
      <c r="B7" s="5" t="n"/>
      <c r="C7" s="5" t="n"/>
      <c r="D7" s="5" t="n"/>
      <c r="E7" s="5" t="n"/>
      <c r="F7" s="5" t="n"/>
      <c r="G7" s="5" t="n"/>
      <c r="H7" s="5" t="n"/>
      <c r="I7" s="1" t="n"/>
    </row>
    <row r="8" ht="8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</row>
    <row r="9" ht="20" customHeight="1">
      <c r="A9" s="1" t="n"/>
      <c r="B9" s="3" t="inlineStr">
        <is>
          <t xml:space="preserve">  ACTIVE PIPELINE — TOP LEADS</t>
        </is>
      </c>
      <c r="F9" s="3" t="inlineStr">
        <is>
          <t xml:space="preserve">  THIS WEEK  ·  HABITS</t>
        </is>
      </c>
      <c r="I9" s="1" t="n"/>
    </row>
    <row r="10" ht="18" customHeight="1">
      <c r="A10" s="1" t="n"/>
      <c r="B10" s="12" t="inlineStr">
        <is>
          <t>CLIENT</t>
        </is>
      </c>
      <c r="C10" s="12" t="inlineStr">
        <is>
          <t>SERVICE</t>
        </is>
      </c>
      <c r="D10" s="12" t="inlineStr">
        <is>
          <t>VALUE ($)</t>
        </is>
      </c>
      <c r="E10" s="12" t="inlineStr">
        <is>
          <t>STAGE</t>
        </is>
      </c>
      <c r="F10" s="12" t="inlineStr">
        <is>
          <t>NEXT ACTION</t>
        </is>
      </c>
      <c r="G10" s="1" t="n"/>
      <c r="H10" s="1" t="n"/>
      <c r="I10" s="1" t="n"/>
    </row>
    <row r="11" ht="16" customHeight="1">
      <c r="A11" s="1" t="n"/>
      <c r="B11" s="13" t="inlineStr">
        <is>
          <t>Selam Films</t>
        </is>
      </c>
      <c r="C11" s="14" t="inlineStr">
        <is>
          <t>Commercial</t>
        </is>
      </c>
      <c r="D11" s="15" t="n">
        <v>3500</v>
      </c>
      <c r="E11" s="16" t="inlineStr">
        <is>
          <t>NEGOTIATING</t>
        </is>
      </c>
      <c r="F11" s="17" t="inlineStr">
        <is>
          <t>Craft Work</t>
        </is>
      </c>
      <c r="G11" s="18" t="inlineStr">
        <is>
          <t>✓ ✓ ✓ ✓ ✓ — —</t>
        </is>
      </c>
      <c r="H11" s="5" t="n"/>
      <c r="I11" s="1" t="n"/>
    </row>
    <row r="12" ht="16" customHeight="1">
      <c r="A12" s="1" t="n"/>
      <c r="B12" s="19" t="inlineStr">
        <is>
          <t>KAYD Agency</t>
        </is>
      </c>
      <c r="C12" s="20" t="inlineStr">
        <is>
          <t>Brand Video</t>
        </is>
      </c>
      <c r="D12" s="21" t="n">
        <v>2200</v>
      </c>
      <c r="E12" s="22" t="inlineStr">
        <is>
          <t>PROPOSAL SENT</t>
        </is>
      </c>
      <c r="F12" s="17" t="inlineStr">
        <is>
          <t>Workout</t>
        </is>
      </c>
      <c r="G12" s="18" t="inlineStr">
        <is>
          <t>✓ ✓ — ✓ ✓ ✓ —</t>
        </is>
      </c>
      <c r="H12" s="5" t="n"/>
      <c r="I12" s="1" t="n"/>
    </row>
    <row r="13" ht="16" customHeight="1">
      <c r="A13" s="1" t="n"/>
      <c r="B13" s="13" t="inlineStr">
        <is>
          <t>Henok Wedding</t>
        </is>
      </c>
      <c r="C13" s="14" t="inlineStr">
        <is>
          <t>Wedding Film</t>
        </is>
      </c>
      <c r="D13" s="15" t="n">
        <v>1800</v>
      </c>
      <c r="E13" s="23" t="inlineStr">
        <is>
          <t>BOOKED</t>
        </is>
      </c>
      <c r="F13" s="17" t="inlineStr">
        <is>
          <t>Client Outch</t>
        </is>
      </c>
      <c r="G13" s="18" t="inlineStr">
        <is>
          <t>✓ — ✓ ✓ — ✓ —</t>
        </is>
      </c>
      <c r="H13" s="5" t="n"/>
      <c r="I13" s="1" t="n"/>
    </row>
    <row r="14" ht="16" customHeight="1">
      <c r="A14" s="1" t="n"/>
      <c r="B14" s="19" t="inlineStr">
        <is>
          <t>Nova Studios</t>
        </is>
      </c>
      <c r="C14" s="20" t="inlineStr">
        <is>
          <t>Music Video</t>
        </is>
      </c>
      <c r="D14" s="21" t="n">
        <v>2800</v>
      </c>
      <c r="E14" s="24" t="inlineStr">
        <is>
          <t>INTERESTED</t>
        </is>
      </c>
      <c r="F14" s="17" t="inlineStr">
        <is>
          <t>Read 20 min</t>
        </is>
      </c>
      <c r="G14" s="18" t="inlineStr">
        <is>
          <t>✓ ✓ ✓ — ✓ ✓ ✓</t>
        </is>
      </c>
      <c r="H14" s="5" t="n"/>
      <c r="I14" s="1" t="n"/>
    </row>
    <row r="15" ht="16" customHeight="1">
      <c r="A15" s="1" t="n"/>
      <c r="B15" s="13" t="inlineStr">
        <is>
          <t>TeleBirhan</t>
        </is>
      </c>
      <c r="C15" s="14" t="inlineStr">
        <is>
          <t>Documentary</t>
        </is>
      </c>
      <c r="D15" s="15" t="n">
        <v>5000</v>
      </c>
      <c r="E15" s="25" t="inlineStr">
        <is>
          <t>CONTACTED</t>
        </is>
      </c>
      <c r="F15" s="17" t="inlineStr">
        <is>
          <t>Journaling</t>
        </is>
      </c>
      <c r="G15" s="18" t="inlineStr">
        <is>
          <t>— ✓ ✓ ✓ — — ✓</t>
        </is>
      </c>
      <c r="H15" s="5" t="n"/>
      <c r="I15" s="1" t="n"/>
    </row>
    <row r="16" ht="8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</row>
    <row r="17" ht="20" customHeight="1">
      <c r="A17" s="1" t="n"/>
      <c r="B17" s="3" t="inlineStr">
        <is>
          <t xml:space="preserve">  DAILY SIGNAL</t>
        </is>
      </c>
      <c r="I17" s="1" t="n"/>
    </row>
    <row r="18" ht="22" customHeight="1">
      <c r="A18" s="1" t="n"/>
      <c r="B18" s="26">
        <f>CHOOSE(WEEKDAY(TODAY()),"The frame is your truth — own it.","One great shot changes everything.","Light is language. Learn it deeply.","Your lens, your vision, your legacy.","Craft compounds. Show up daily.","The best directors were once broke filmmakers.","Motion is emotion — make them feel it.")</f>
        <v/>
      </c>
      <c r="I18" s="1" t="n"/>
    </row>
    <row r="19" ht="22" customHeight="1">
      <c r="A19" s="1" t="n"/>
      <c r="I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</row>
  </sheetData>
  <mergeCells count="18">
    <mergeCell ref="H5"/>
    <mergeCell ref="B1:H2"/>
    <mergeCell ref="B9:E9"/>
    <mergeCell ref="B17:H17"/>
    <mergeCell ref="B18:H19"/>
    <mergeCell ref="B5:C5"/>
    <mergeCell ref="B4:H4"/>
    <mergeCell ref="H6:H7"/>
    <mergeCell ref="G6:G7"/>
    <mergeCell ref="B6:C7"/>
    <mergeCell ref="E6:E7"/>
    <mergeCell ref="F9:H9"/>
    <mergeCell ref="F6:F7"/>
    <mergeCell ref="D6:D7"/>
    <mergeCell ref="F5"/>
    <mergeCell ref="D5"/>
    <mergeCell ref="G5"/>
    <mergeCell ref="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ECC71"/>
    <outlinePr summaryBelow="1" summaryRight="1"/>
    <pageSetUpPr/>
  </sheetPr>
  <dimension ref="A1:M2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.5" customWidth="1" min="1" max="1"/>
    <col width="22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  <col width="18" customWidth="1" min="8" max="8"/>
    <col width="12" customWidth="1" min="9" max="9"/>
    <col width="10" customWidth="1" min="10" max="10"/>
    <col width="18" customWidth="1" min="11" max="11"/>
    <col width="10" customWidth="1" min="12" max="12"/>
    <col width="10" customWidth="1" min="13" max="13"/>
  </cols>
  <sheetData>
    <row r="1" ht="22" customHeight="1">
      <c r="A1" s="1" t="n"/>
      <c r="B1" s="27" t="inlineStr">
        <is>
          <t xml:space="preserve">  ◈  CLIENT PIPELINE  ·  OUTREACH TRACKER</t>
        </is>
      </c>
    </row>
    <row r="2" ht="22" customHeight="1">
      <c r="A2" s="1" t="n"/>
    </row>
    <row r="3" ht="14" customHeight="1">
      <c r="A3" s="1" t="n"/>
      <c r="B3" s="28" t="inlineStr">
        <is>
          <t>TOTAL PIPELINE</t>
        </is>
      </c>
      <c r="C3" s="29" t="n"/>
      <c r="D3" s="28" t="inlineStr">
        <is>
          <t>BOOKED THIS MONTH</t>
        </is>
      </c>
      <c r="E3" s="29" t="n"/>
      <c r="F3" s="28" t="inlineStr">
        <is>
          <t>ACTIVE LEADS</t>
        </is>
      </c>
      <c r="G3" s="29" t="n"/>
      <c r="H3" s="28" t="inlineStr">
        <is>
          <t>RESPONSE RATE</t>
        </is>
      </c>
      <c r="I3" s="29" t="n"/>
      <c r="J3" s="28" t="inlineStr">
        <is>
          <t>PROPOSALS OUT</t>
        </is>
      </c>
      <c r="K3" s="29" t="n"/>
      <c r="L3" s="29" t="n"/>
      <c r="M3" s="29" t="n"/>
    </row>
    <row r="4" ht="22" customHeight="1">
      <c r="A4" s="1" t="n"/>
      <c r="B4" s="30">
        <f>SUMIF(E6:E205,"&lt;&gt;CLOSED LOST",C6:C205)</f>
        <v/>
      </c>
      <c r="C4" s="29" t="n"/>
      <c r="D4" s="31">
        <f>SUMIF(E6:E205,"BOOKED",C6:C205)</f>
        <v/>
      </c>
      <c r="E4" s="29" t="n"/>
      <c r="F4" s="32">
        <f>COUNTIF(E6:E205,"&lt;&gt;CLOSED LOST")</f>
        <v/>
      </c>
      <c r="G4" s="29" t="n"/>
      <c r="H4" s="33">
        <f>IFERROR(COUNTIF(E6:E205,"INTERESTED")/COUNTIF(E6:E205,"&lt;&gt;COLD"),"—")</f>
        <v/>
      </c>
      <c r="I4" s="29" t="n"/>
      <c r="J4" s="34">
        <f>COUNTIF(E6:E205,"PROPOSAL SENT")</f>
        <v/>
      </c>
      <c r="K4" s="29" t="n"/>
      <c r="L4" s="29" t="n"/>
      <c r="M4" s="29" t="n"/>
    </row>
    <row r="5" ht="20" customHeight="1">
      <c r="A5" s="1" t="n"/>
      <c r="B5" s="35" t="inlineStr">
        <is>
          <t>CLIENT NAME</t>
        </is>
      </c>
      <c r="C5" s="35" t="inlineStr">
        <is>
          <t>DEAL VALUE ($)</t>
        </is>
      </c>
      <c r="D5" s="35" t="inlineStr">
        <is>
          <t>SERVICE TYPE</t>
        </is>
      </c>
      <c r="E5" s="35" t="inlineStr">
        <is>
          <t>STAGE</t>
        </is>
      </c>
      <c r="F5" s="35" t="inlineStr">
        <is>
          <t>FIRST CONTACT</t>
        </is>
      </c>
      <c r="G5" s="35" t="inlineStr">
        <is>
          <t>LAST FOLLOW-UP</t>
        </is>
      </c>
      <c r="H5" s="35" t="inlineStr">
        <is>
          <t>NEXT ACTION</t>
        </is>
      </c>
      <c r="I5" s="35" t="inlineStr">
        <is>
          <t>DAYS SINCE CONTACT</t>
        </is>
      </c>
      <c r="J5" s="35" t="inlineStr">
        <is>
          <t>PRIORITY</t>
        </is>
      </c>
      <c r="K5" s="35" t="inlineStr">
        <is>
          <t>NOTES</t>
        </is>
      </c>
      <c r="L5" s="35" t="inlineStr">
        <is>
          <t>PROPOSAL?</t>
        </is>
      </c>
      <c r="M5" s="35" t="inlineStr">
        <is>
          <t>SIGNED?</t>
        </is>
      </c>
    </row>
    <row r="6" ht="16" customHeight="1">
      <c r="A6" s="1" t="n"/>
      <c r="B6" s="13" t="inlineStr">
        <is>
          <t>Selam Films</t>
        </is>
      </c>
      <c r="C6" s="36" t="n">
        <v>3500</v>
      </c>
      <c r="D6" s="14" t="inlineStr">
        <is>
          <t>Commercial</t>
        </is>
      </c>
      <c r="E6" s="16" t="inlineStr">
        <is>
          <t>NEGOTIATING</t>
        </is>
      </c>
      <c r="F6" s="37" t="n">
        <v>46185</v>
      </c>
      <c r="G6" s="37" t="n">
        <v>46187</v>
      </c>
      <c r="H6" s="38" t="inlineStr">
        <is>
          <t>Send revised proposal</t>
        </is>
      </c>
      <c r="I6" s="39" t="n">
        <v>1</v>
      </c>
      <c r="J6" s="40" t="n">
        <v>17.5</v>
      </c>
      <c r="K6" s="14" t="inlineStr"/>
      <c r="L6" s="39" t="inlineStr">
        <is>
          <t>—</t>
        </is>
      </c>
      <c r="M6" s="39" t="inlineStr">
        <is>
          <t>—</t>
        </is>
      </c>
    </row>
    <row r="7" ht="16" customHeight="1">
      <c r="A7" s="1" t="n"/>
      <c r="B7" s="19" t="inlineStr">
        <is>
          <t>KAYD Agency</t>
        </is>
      </c>
      <c r="C7" s="41" t="n">
        <v>2200</v>
      </c>
      <c r="D7" s="20" t="inlineStr">
        <is>
          <t>Brand Video</t>
        </is>
      </c>
      <c r="E7" s="22" t="inlineStr">
        <is>
          <t>PROPOSAL SENT</t>
        </is>
      </c>
      <c r="F7" s="42" t="n">
        <v>46181</v>
      </c>
      <c r="G7" s="42" t="n">
        <v>46186</v>
      </c>
      <c r="H7" s="43" t="inlineStr">
        <is>
          <t>Follow up Tuesday</t>
        </is>
      </c>
      <c r="I7" s="44" t="n">
        <v>2</v>
      </c>
      <c r="J7" s="45" t="n">
        <v>8.800000000000001</v>
      </c>
      <c r="K7" s="20" t="inlineStr"/>
      <c r="L7" s="46" t="inlineStr">
        <is>
          <t>YES</t>
        </is>
      </c>
      <c r="M7" s="44" t="inlineStr">
        <is>
          <t>—</t>
        </is>
      </c>
    </row>
    <row r="8" ht="16" customHeight="1">
      <c r="A8" s="1" t="n"/>
      <c r="B8" s="13" t="inlineStr">
        <is>
          <t>Henok Wedding</t>
        </is>
      </c>
      <c r="C8" s="36" t="n">
        <v>1800</v>
      </c>
      <c r="D8" s="14" t="inlineStr">
        <is>
          <t>Wedding Film</t>
        </is>
      </c>
      <c r="E8" s="23" t="inlineStr">
        <is>
          <t>BOOKED</t>
        </is>
      </c>
      <c r="F8" s="37" t="n">
        <v>46174</v>
      </c>
      <c r="G8" s="37" t="n">
        <v>46187</v>
      </c>
      <c r="H8" s="38" t="inlineStr">
        <is>
          <t>Pre-shoot call Friday</t>
        </is>
      </c>
      <c r="I8" s="39" t="n">
        <v>1</v>
      </c>
      <c r="J8" s="40" t="n">
        <v>10.8</v>
      </c>
      <c r="K8" s="14" t="inlineStr"/>
      <c r="L8" s="18" t="inlineStr">
        <is>
          <t>YES</t>
        </is>
      </c>
      <c r="M8" s="39" t="inlineStr">
        <is>
          <t>—</t>
        </is>
      </c>
    </row>
    <row r="9" ht="16" customHeight="1">
      <c r="A9" s="1" t="n"/>
      <c r="B9" s="19" t="inlineStr">
        <is>
          <t>Nova Studios</t>
        </is>
      </c>
      <c r="C9" s="41" t="n">
        <v>2800</v>
      </c>
      <c r="D9" s="20" t="inlineStr">
        <is>
          <t>Music Video</t>
        </is>
      </c>
      <c r="E9" s="24" t="inlineStr">
        <is>
          <t>INTERESTED</t>
        </is>
      </c>
      <c r="F9" s="42" t="n">
        <v>46183</v>
      </c>
      <c r="G9" s="42" t="n">
        <v>46185</v>
      </c>
      <c r="H9" s="43" t="inlineStr">
        <is>
          <t>Schedule site visit</t>
        </is>
      </c>
      <c r="I9" s="44" t="n">
        <v>3</v>
      </c>
      <c r="J9" s="45" t="n">
        <v>8.4</v>
      </c>
      <c r="K9" s="20" t="inlineStr"/>
      <c r="L9" s="44" t="inlineStr">
        <is>
          <t>—</t>
        </is>
      </c>
      <c r="M9" s="44" t="inlineStr">
        <is>
          <t>—</t>
        </is>
      </c>
    </row>
    <row r="10" ht="16" customHeight="1">
      <c r="A10" s="1" t="n"/>
      <c r="B10" s="13" t="inlineStr">
        <is>
          <t>TeleBirhan</t>
        </is>
      </c>
      <c r="C10" s="36" t="n">
        <v>5000</v>
      </c>
      <c r="D10" s="14" t="inlineStr">
        <is>
          <t>Documentary</t>
        </is>
      </c>
      <c r="E10" s="25" t="inlineStr">
        <is>
          <t>CONTACTED</t>
        </is>
      </c>
      <c r="F10" s="37" t="n">
        <v>46178</v>
      </c>
      <c r="G10" s="37" t="n">
        <v>46183</v>
      </c>
      <c r="H10" s="38" t="inlineStr">
        <is>
          <t>Send portfolio link</t>
        </is>
      </c>
      <c r="I10" s="39" t="n">
        <v>5</v>
      </c>
      <c r="J10" s="40" t="n">
        <v>10</v>
      </c>
      <c r="K10" s="14" t="inlineStr"/>
      <c r="L10" s="39" t="inlineStr">
        <is>
          <t>—</t>
        </is>
      </c>
      <c r="M10" s="39" t="inlineStr">
        <is>
          <t>—</t>
        </is>
      </c>
    </row>
    <row r="11" ht="16" customHeight="1">
      <c r="A11" s="1" t="n"/>
      <c r="B11" s="19" t="inlineStr">
        <is>
          <t>Biruk Events</t>
        </is>
      </c>
      <c r="C11" s="41" t="n">
        <v>1500</v>
      </c>
      <c r="D11" s="20" t="inlineStr">
        <is>
          <t>Event Coverage</t>
        </is>
      </c>
      <c r="E11" s="47" t="inlineStr">
        <is>
          <t>COLD</t>
        </is>
      </c>
      <c r="F11" s="42" t="n">
        <v>46168</v>
      </c>
      <c r="G11" s="42" t="n">
        <v>46168</v>
      </c>
      <c r="H11" s="43" t="inlineStr">
        <is>
          <t>Initial outreach</t>
        </is>
      </c>
      <c r="I11" s="48" t="n">
        <v>20</v>
      </c>
      <c r="J11" s="45" t="n">
        <v>1.5</v>
      </c>
      <c r="K11" s="20" t="inlineStr"/>
      <c r="L11" s="44" t="inlineStr">
        <is>
          <t>—</t>
        </is>
      </c>
      <c r="M11" s="44" t="inlineStr">
        <is>
          <t>—</t>
        </is>
      </c>
    </row>
    <row r="12" ht="16" customHeight="1">
      <c r="A12" s="1" t="n"/>
      <c r="B12" s="13" t="inlineStr">
        <is>
          <t>Liya Media</t>
        </is>
      </c>
      <c r="C12" s="36" t="n">
        <v>4200</v>
      </c>
      <c r="D12" s="14" t="inlineStr">
        <is>
          <t>Ad Campaign</t>
        </is>
      </c>
      <c r="E12" s="16" t="inlineStr">
        <is>
          <t>NEGOTIATING</t>
        </is>
      </c>
      <c r="F12" s="37" t="n">
        <v>46180</v>
      </c>
      <c r="G12" s="37" t="n">
        <v>46186</v>
      </c>
      <c r="H12" s="38" t="inlineStr">
        <is>
          <t>Confirm budget ceiling</t>
        </is>
      </c>
      <c r="I12" s="39" t="n">
        <v>2</v>
      </c>
      <c r="J12" s="40" t="n">
        <v>21</v>
      </c>
      <c r="K12" s="14" t="inlineStr"/>
      <c r="L12" s="18" t="inlineStr">
        <is>
          <t>YES</t>
        </is>
      </c>
      <c r="M12" s="39" t="inlineStr">
        <is>
          <t>—</t>
        </is>
      </c>
    </row>
    <row r="13" ht="16" customHeight="1">
      <c r="A13" s="1" t="n"/>
      <c r="B13" s="19" t="inlineStr">
        <is>
          <t>Addis Photo</t>
        </is>
      </c>
      <c r="C13" s="41" t="n">
        <v>900</v>
      </c>
      <c r="D13" s="20" t="inlineStr">
        <is>
          <t>Product Shoot</t>
        </is>
      </c>
      <c r="E13" s="22" t="inlineStr">
        <is>
          <t>PROPOSAL SENT</t>
        </is>
      </c>
      <c r="F13" s="42" t="n">
        <v>46182</v>
      </c>
      <c r="G13" s="42" t="n">
        <v>46184</v>
      </c>
      <c r="H13" s="43" t="inlineStr">
        <is>
          <t>Chase response</t>
        </is>
      </c>
      <c r="I13" s="44" t="n">
        <v>4</v>
      </c>
      <c r="J13" s="45" t="n">
        <v>3.6</v>
      </c>
      <c r="K13" s="20" t="inlineStr"/>
      <c r="L13" s="46" t="inlineStr">
        <is>
          <t>YES</t>
        </is>
      </c>
      <c r="M13" s="44" t="inlineStr">
        <is>
          <t>—</t>
        </is>
      </c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</row>
  </sheetData>
  <mergeCells count="1">
    <mergeCell ref="B1:M2"/>
  </mergeCells>
  <conditionalFormatting sqref="B6:M205">
    <cfRule type="expression" priority="1" dxfId="0">
      <formula>$E6="BOOKED"</formula>
    </cfRule>
    <cfRule type="expression" priority="2" dxfId="1">
      <formula>$E6="CLOSED LOST"</formula>
    </cfRule>
  </conditionalFormatting>
  <conditionalFormatting sqref="J6:J205">
    <cfRule type="cellIs" priority="3" operator="greaterThan" dxfId="2">
      <formula>14</formula>
    </cfRule>
  </conditionalFormatting>
  <dataValidations count="2">
    <dataValidation sqref="E6:E205" showDropDown="0" showInputMessage="0" showErrorMessage="0" allowBlank="1" type="list">
      <formula1>"COLD,CONTACTED,INTERESTED,PROPOSAL SENT,NEGOTIATING,BOOKED,CLOSED LOST"</formula1>
    </dataValidation>
    <dataValidation sqref="L6:M205" showDropDown="0" showInputMessage="0" showErrorMessage="0" allowBlank="1" type="list">
      <formula1>"YES,NO,—"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E2B04A"/>
    <outlinePr summaryBelow="1" summaryRight="1"/>
    <pageSetUpPr/>
  </sheetPr>
  <dimension ref="A1:E12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6" customWidth="1" min="2" max="2"/>
    <col width="26" customWidth="1" min="3" max="3"/>
    <col width="26" customWidth="1" min="4" max="4"/>
    <col width="18" customWidth="1" min="5" max="5"/>
  </cols>
  <sheetData>
    <row r="1" ht="22" customHeight="1">
      <c r="A1" s="1" t="n"/>
      <c r="B1" s="27" t="inlineStr">
        <is>
          <t xml:space="preserve">  ◈  SERVICE RATE CARD  ·  GOOD · BETTER · BEST</t>
        </is>
      </c>
    </row>
    <row r="2" ht="22" customHeight="1">
      <c r="A2" s="1" t="n"/>
    </row>
    <row r="3" ht="10" customHeight="1">
      <c r="A3" s="1" t="n"/>
      <c r="B3" s="1" t="n"/>
      <c r="C3" s="1" t="n"/>
      <c r="D3" s="1" t="n"/>
      <c r="E3" s="1" t="n"/>
    </row>
    <row r="4" ht="20" customHeight="1">
      <c r="A4" s="1" t="n"/>
      <c r="B4" s="3" t="inlineStr">
        <is>
          <t>TIER 1  ·  DAY RATE</t>
        </is>
      </c>
      <c r="C4" s="49" t="inlineStr">
        <is>
          <t>TIER 2  ·  PROJECT PKG</t>
        </is>
      </c>
      <c r="D4" s="50" t="inlineStr">
        <is>
          <t>TIER 3  ·  BRAND PARTNER</t>
        </is>
      </c>
      <c r="E4" s="1" t="n"/>
    </row>
    <row r="5" ht="20" customHeight="1">
      <c r="A5" s="1" t="n"/>
      <c r="B5" s="5" t="n"/>
      <c r="C5" s="5" t="n"/>
      <c r="D5" s="51" t="n"/>
      <c r="E5" s="1" t="n"/>
    </row>
    <row r="6" ht="14" customHeight="1">
      <c r="A6" s="1" t="n"/>
      <c r="B6" s="14" t="inlineStr">
        <is>
          <t>Essential</t>
        </is>
      </c>
      <c r="C6" s="14" t="inlineStr">
        <is>
          <t>Standard</t>
        </is>
      </c>
      <c r="D6" s="52" t="inlineStr">
        <is>
          <t>Premium</t>
        </is>
      </c>
      <c r="E6" s="1" t="n"/>
    </row>
    <row r="7" ht="22" customHeight="1">
      <c r="A7" s="1" t="n"/>
      <c r="B7" s="53" t="inlineStr">
        <is>
          <t>from  $800</t>
        </is>
      </c>
      <c r="C7" s="54" t="inlineStr">
        <is>
          <t>from  $2,400</t>
        </is>
      </c>
      <c r="D7" s="55" t="inlineStr">
        <is>
          <t>Custom Quote</t>
        </is>
      </c>
      <c r="E7" s="1" t="n"/>
    </row>
    <row r="8" ht="22" customHeight="1">
      <c r="A8" s="1" t="n"/>
      <c r="B8" s="5" t="n"/>
      <c r="C8" s="5" t="n"/>
      <c r="D8" s="51" t="n"/>
      <c r="E8" s="1" t="n"/>
    </row>
    <row r="9" ht="14" customHeight="1">
      <c r="A9" s="1" t="n"/>
      <c r="B9" s="56" t="inlineStr">
        <is>
          <t>✦ 1 camera operator
✦ Up to 8 hrs on location
✦ Basic color grade
✦ 1 final cut delivery
✦ Web-ready export</t>
        </is>
      </c>
      <c r="C9" s="56" t="inlineStr">
        <is>
          <t>✦ 2-day shoot included
✦ 2 camera setups
✦ Full color grade + LUTs
✦ Sound design
✦ 2 revision rounds
✦ Drone add-on available</t>
        </is>
      </c>
      <c r="D9" s="57" t="inlineStr">
        <is>
          <t>✦ Monthly retainer (4-8 shoot days)
✦ Dedicated edit suite
✦ Unlimited revisions
✦ Rush delivery included
✦ Usage rights: unlimited
✦ Creative direction included</t>
        </is>
      </c>
      <c r="E9" s="1" t="n"/>
    </row>
    <row r="10" ht="14" customHeight="1">
      <c r="A10" s="1" t="n"/>
      <c r="B10" s="5" t="n"/>
      <c r="C10" s="5" t="n"/>
      <c r="D10" s="51" t="n"/>
      <c r="E10" s="1" t="n"/>
    </row>
    <row r="11" ht="14" customHeight="1">
      <c r="A11" s="1" t="n"/>
      <c r="B11" s="5" t="n"/>
      <c r="C11" s="5" t="n"/>
      <c r="D11" s="51" t="n"/>
      <c r="E11" s="1" t="n"/>
    </row>
    <row r="12" ht="14" customHeight="1">
      <c r="A12" s="1" t="n"/>
      <c r="B12" s="5" t="n"/>
      <c r="C12" s="5" t="n"/>
      <c r="D12" s="51" t="n"/>
      <c r="E12" s="1" t="n"/>
    </row>
    <row r="13" ht="14" customHeight="1">
      <c r="A13" s="1" t="n"/>
      <c r="B13" s="5" t="n"/>
      <c r="C13" s="5" t="n"/>
      <c r="D13" s="51" t="n"/>
      <c r="E13" s="1" t="n"/>
    </row>
    <row r="14" ht="14" customHeight="1">
      <c r="A14" s="1" t="n"/>
      <c r="B14" s="5" t="n"/>
      <c r="C14" s="5" t="n"/>
      <c r="D14" s="51" t="n"/>
      <c r="E14" s="1" t="n"/>
    </row>
    <row r="15" ht="16" customHeight="1">
      <c r="A15" s="1" t="n"/>
      <c r="B15" s="58" t="inlineStr">
        <is>
          <t>→  Startups · Events · Small brands</t>
        </is>
      </c>
      <c r="C15" s="58" t="inlineStr">
        <is>
          <t>→  Agencies · Music artists · SMEs</t>
        </is>
      </c>
      <c r="D15" s="59" t="inlineStr">
        <is>
          <t>→  Corporates · Broadcast · Retainers</t>
        </is>
      </c>
      <c r="E15" s="1" t="n"/>
    </row>
    <row r="16" ht="10" customHeight="1">
      <c r="A16" s="1" t="n"/>
      <c r="B16" s="1" t="n"/>
      <c r="C16" s="1" t="n"/>
      <c r="D16" s="1" t="n"/>
      <c r="E16" s="1" t="n"/>
    </row>
    <row r="17" ht="20" customHeight="1">
      <c r="A17" s="1" t="n"/>
      <c r="B17" s="3" t="inlineStr">
        <is>
          <t xml:space="preserve">  ADD-ONS  ·  À LA CARTE</t>
        </is>
      </c>
    </row>
    <row r="18" ht="18" customHeight="1">
      <c r="A18" s="1" t="n"/>
      <c r="B18" s="35" t="inlineStr">
        <is>
          <t>SERVICE</t>
        </is>
      </c>
      <c r="C18" s="35" t="inlineStr">
        <is>
          <t>PRICE</t>
        </is>
      </c>
      <c r="D18" s="35" t="inlineStr">
        <is>
          <t>NOTES</t>
        </is>
      </c>
      <c r="E18" s="1" t="n"/>
    </row>
    <row r="19" ht="15" customHeight="1">
      <c r="A19" s="1" t="n"/>
      <c r="B19" s="13" t="inlineStr">
        <is>
          <t>Drone / Aerial</t>
        </is>
      </c>
      <c r="C19" s="60" t="inlineStr">
        <is>
          <t>$300 / day</t>
        </is>
      </c>
      <c r="D19" s="14" t="inlineStr">
        <is>
          <t>FAA-compliant operator</t>
        </is>
      </c>
      <c r="E19" s="1" t="n"/>
    </row>
    <row r="20" ht="15" customHeight="1">
      <c r="A20" s="1" t="n"/>
      <c r="B20" s="19" t="inlineStr">
        <is>
          <t>Express Delivery</t>
        </is>
      </c>
      <c r="C20" s="61" t="inlineStr">
        <is>
          <t>+40%</t>
        </is>
      </c>
      <c r="D20" s="20" t="inlineStr">
        <is>
          <t>72-hr turnaround</t>
        </is>
      </c>
      <c r="E20" s="1" t="n"/>
    </row>
    <row r="21" ht="15" customHeight="1">
      <c r="A21" s="1" t="n"/>
      <c r="B21" s="13" t="inlineStr">
        <is>
          <t>Sound Design + Mix</t>
        </is>
      </c>
      <c r="C21" s="60" t="inlineStr">
        <is>
          <t>$250 / min</t>
        </is>
      </c>
      <c r="D21" s="14" t="inlineStr">
        <is>
          <t>Full audio post</t>
        </is>
      </c>
      <c r="E21" s="1" t="n"/>
    </row>
    <row r="22" ht="15" customHeight="1">
      <c r="A22" s="1" t="n"/>
      <c r="B22" s="19" t="inlineStr">
        <is>
          <t>Extra Revision Round</t>
        </is>
      </c>
      <c r="C22" s="61" t="inlineStr">
        <is>
          <t>$150 each</t>
        </is>
      </c>
      <c r="D22" s="20" t="inlineStr">
        <is>
          <t>Beyond package limit</t>
        </is>
      </c>
      <c r="E22" s="1" t="n"/>
    </row>
    <row r="23" ht="15" customHeight="1">
      <c r="A23" s="1" t="n"/>
      <c r="B23" s="13" t="inlineStr">
        <is>
          <t>BTS + Making-of</t>
        </is>
      </c>
      <c r="C23" s="60" t="inlineStr">
        <is>
          <t>$400</t>
        </is>
      </c>
      <c r="D23" s="14" t="inlineStr">
        <is>
          <t>Additional camera</t>
        </is>
      </c>
      <c r="E23" s="1" t="n"/>
    </row>
    <row r="24" ht="15" customHeight="1">
      <c r="A24" s="1" t="n"/>
      <c r="B24" s="19" t="inlineStr">
        <is>
          <t>Color Grade — Adv.</t>
        </is>
      </c>
      <c r="C24" s="61" t="inlineStr">
        <is>
          <t>$500</t>
        </is>
      </c>
      <c r="D24" s="20" t="inlineStr">
        <is>
          <t>HDR + custom LUTs</t>
        </is>
      </c>
      <c r="E24" s="1" t="n"/>
    </row>
    <row r="25" ht="15" customHeight="1">
      <c r="A25" s="1" t="n"/>
      <c r="B25" s="13" t="inlineStr">
        <is>
          <t>Usage: Broadcast</t>
        </is>
      </c>
      <c r="C25" s="60" t="inlineStr">
        <is>
          <t>+50% of fee</t>
        </is>
      </c>
      <c r="D25" s="14" t="inlineStr">
        <is>
          <t>TV / OTT platforms</t>
        </is>
      </c>
      <c r="E25" s="1" t="n"/>
    </row>
    <row r="26" ht="15" customHeight="1">
      <c r="A26" s="1" t="n"/>
      <c r="B26" s="19" t="inlineStr">
        <is>
          <t>Usage: Unlimited</t>
        </is>
      </c>
      <c r="C26" s="61" t="inlineStr">
        <is>
          <t>+100% of fee</t>
        </is>
      </c>
      <c r="D26" s="20" t="inlineStr">
        <is>
          <t>All platforms, all time</t>
        </is>
      </c>
      <c r="E26" s="1" t="n"/>
    </row>
    <row r="27" ht="15" customHeight="1">
      <c r="A27" s="1" t="n"/>
      <c r="B27" s="13" t="inlineStr">
        <is>
          <t>Subtitle / Caption</t>
        </is>
      </c>
      <c r="C27" s="60" t="inlineStr">
        <is>
          <t>$80 / video</t>
        </is>
      </c>
      <c r="D27" s="14" t="inlineStr">
        <is>
          <t>SRT file included</t>
        </is>
      </c>
      <c r="E27" s="1" t="n"/>
    </row>
    <row r="28" ht="15" customHeight="1">
      <c r="A28" s="1" t="n"/>
      <c r="B28" s="19" t="inlineStr">
        <is>
          <t>Photography Add-on</t>
        </is>
      </c>
      <c r="C28" s="61" t="inlineStr">
        <is>
          <t>$350 / half-day</t>
        </is>
      </c>
      <c r="D28" s="20" t="inlineStr">
        <is>
          <t>Stills alongside video</t>
        </is>
      </c>
      <c r="E28" s="1" t="n"/>
    </row>
    <row r="29">
      <c r="A29" s="1" t="n"/>
      <c r="B29" s="1" t="n"/>
      <c r="C29" s="1" t="n"/>
      <c r="D29" s="1" t="n"/>
      <c r="E29" s="1" t="n"/>
    </row>
    <row r="30" ht="20" customHeight="1">
      <c r="A30" s="1" t="n"/>
      <c r="B30" s="3" t="inlineStr">
        <is>
          <t xml:space="preserve">  QUICK QUOTE CALCULATOR</t>
        </is>
      </c>
    </row>
    <row r="31" ht="16" customHeight="1">
      <c r="A31" s="1" t="n"/>
      <c r="B31" s="28" t="inlineStr">
        <is>
          <t>SELECT BASE TIER</t>
        </is>
      </c>
      <c r="C31" s="1" t="n"/>
      <c r="D31" s="1" t="n"/>
      <c r="E31" s="1" t="n"/>
    </row>
    <row r="32" ht="18" customHeight="1">
      <c r="A32" s="1" t="n"/>
      <c r="B32" s="62" t="inlineStr">
        <is>
          <t>Tier 2  ·  Project Package</t>
        </is>
      </c>
      <c r="C32" s="63" t="n">
        <v>2400</v>
      </c>
      <c r="D32" s="1" t="n"/>
      <c r="E32" s="1" t="n"/>
    </row>
    <row r="33" ht="15" customHeight="1">
      <c r="A33" s="1" t="n"/>
      <c r="B33" s="20" t="inlineStr">
        <is>
          <t>Drone / Aerial</t>
        </is>
      </c>
      <c r="C33" s="64" t="n">
        <v>300</v>
      </c>
      <c r="D33" s="1" t="n"/>
      <c r="E33" s="1" t="n"/>
    </row>
    <row r="34" ht="15" customHeight="1">
      <c r="A34" s="1" t="n"/>
      <c r="B34" s="20" t="inlineStr">
        <is>
          <t>Express Delivery</t>
        </is>
      </c>
      <c r="C34" s="64" t="n">
        <v>0</v>
      </c>
      <c r="D34" s="1" t="n"/>
      <c r="E34" s="1" t="n"/>
    </row>
    <row r="35" ht="15" customHeight="1">
      <c r="A35" s="1" t="n"/>
      <c r="B35" s="20" t="inlineStr">
        <is>
          <t>Color Grade (Adv.)</t>
        </is>
      </c>
      <c r="C35" s="64" t="n">
        <v>500</v>
      </c>
      <c r="D35" s="1" t="n"/>
      <c r="E35" s="1" t="n"/>
    </row>
    <row r="36" ht="10" customHeight="1">
      <c r="A36" s="1" t="n"/>
      <c r="B36" s="1" t="n"/>
      <c r="C36" s="1" t="n"/>
      <c r="D36" s="1" t="n"/>
      <c r="E36" s="1" t="n"/>
    </row>
    <row r="37" ht="28" customHeight="1">
      <c r="A37" s="1" t="n"/>
      <c r="B37" s="65" t="inlineStr">
        <is>
          <t>ESTIMATED TOTAL</t>
        </is>
      </c>
      <c r="C37" s="66">
        <f>SUM(C32:C35)</f>
        <v/>
      </c>
      <c r="D37" s="1" t="n"/>
      <c r="E37" s="1" t="n"/>
    </row>
    <row r="38">
      <c r="A38" s="1" t="n"/>
      <c r="B38" s="1" t="n"/>
      <c r="C38" s="1" t="n"/>
      <c r="D38" s="1" t="n"/>
      <c r="E38" s="1" t="n"/>
    </row>
    <row r="39">
      <c r="A39" s="1" t="n"/>
      <c r="B39" s="1" t="n"/>
      <c r="C39" s="1" t="n"/>
      <c r="D39" s="1" t="n"/>
      <c r="E39" s="1" t="n"/>
    </row>
    <row r="40">
      <c r="A40" s="1" t="n"/>
      <c r="B40" s="1" t="n"/>
      <c r="C40" s="1" t="n"/>
      <c r="D40" s="1" t="n"/>
      <c r="E40" s="1" t="n"/>
    </row>
    <row r="41">
      <c r="A41" s="1" t="n"/>
      <c r="B41" s="1" t="n"/>
      <c r="C41" s="1" t="n"/>
      <c r="D41" s="1" t="n"/>
      <c r="E41" s="1" t="n"/>
    </row>
    <row r="42">
      <c r="A42" s="1" t="n"/>
      <c r="B42" s="1" t="n"/>
      <c r="C42" s="1" t="n"/>
      <c r="D42" s="1" t="n"/>
      <c r="E42" s="1" t="n"/>
    </row>
    <row r="43">
      <c r="A43" s="1" t="n"/>
      <c r="B43" s="1" t="n"/>
      <c r="C43" s="1" t="n"/>
      <c r="D43" s="1" t="n"/>
      <c r="E43" s="1" t="n"/>
    </row>
    <row r="44">
      <c r="A44" s="1" t="n"/>
      <c r="B44" s="1" t="n"/>
      <c r="C44" s="1" t="n"/>
      <c r="D44" s="1" t="n"/>
      <c r="E44" s="1" t="n"/>
    </row>
    <row r="45">
      <c r="A45" s="1" t="n"/>
      <c r="B45" s="1" t="n"/>
      <c r="C45" s="1" t="n"/>
      <c r="D45" s="1" t="n"/>
      <c r="E45" s="1" t="n"/>
    </row>
    <row r="46">
      <c r="A46" s="1" t="n"/>
      <c r="B46" s="1" t="n"/>
      <c r="C46" s="1" t="n"/>
      <c r="D46" s="1" t="n"/>
      <c r="E46" s="1" t="n"/>
    </row>
    <row r="47">
      <c r="A47" s="1" t="n"/>
      <c r="B47" s="1" t="n"/>
      <c r="C47" s="1" t="n"/>
      <c r="D47" s="1" t="n"/>
      <c r="E47" s="1" t="n"/>
    </row>
    <row r="48">
      <c r="A48" s="1" t="n"/>
      <c r="B48" s="1" t="n"/>
      <c r="C48" s="1" t="n"/>
      <c r="D48" s="1" t="n"/>
      <c r="E48" s="1" t="n"/>
    </row>
    <row r="49">
      <c r="A49" s="1" t="n"/>
      <c r="B49" s="1" t="n"/>
      <c r="C49" s="1" t="n"/>
      <c r="D49" s="1" t="n"/>
      <c r="E49" s="1" t="n"/>
    </row>
    <row r="50">
      <c r="A50" s="1" t="n"/>
      <c r="B50" s="1" t="n"/>
      <c r="C50" s="1" t="n"/>
      <c r="D50" s="1" t="n"/>
      <c r="E50" s="1" t="n"/>
    </row>
    <row r="51">
      <c r="A51" s="1" t="n"/>
      <c r="B51" s="1" t="n"/>
      <c r="C51" s="1" t="n"/>
      <c r="D51" s="1" t="n"/>
      <c r="E51" s="1" t="n"/>
    </row>
    <row r="52">
      <c r="A52" s="1" t="n"/>
      <c r="B52" s="1" t="n"/>
      <c r="C52" s="1" t="n"/>
      <c r="D52" s="1" t="n"/>
      <c r="E52" s="1" t="n"/>
    </row>
    <row r="53">
      <c r="A53" s="1" t="n"/>
      <c r="B53" s="1" t="n"/>
      <c r="C53" s="1" t="n"/>
      <c r="D53" s="1" t="n"/>
      <c r="E53" s="1" t="n"/>
    </row>
    <row r="54">
      <c r="A54" s="1" t="n"/>
      <c r="B54" s="1" t="n"/>
      <c r="C54" s="1" t="n"/>
      <c r="D54" s="1" t="n"/>
      <c r="E54" s="1" t="n"/>
    </row>
    <row r="55">
      <c r="A55" s="1" t="n"/>
      <c r="B55" s="1" t="n"/>
      <c r="C55" s="1" t="n"/>
      <c r="D55" s="1" t="n"/>
      <c r="E55" s="1" t="n"/>
    </row>
    <row r="56">
      <c r="A56" s="1" t="n"/>
      <c r="B56" s="1" t="n"/>
      <c r="C56" s="1" t="n"/>
      <c r="D56" s="1" t="n"/>
      <c r="E56" s="1" t="n"/>
    </row>
    <row r="57">
      <c r="A57" s="1" t="n"/>
      <c r="B57" s="1" t="n"/>
      <c r="C57" s="1" t="n"/>
      <c r="D57" s="1" t="n"/>
      <c r="E57" s="1" t="n"/>
    </row>
    <row r="58">
      <c r="A58" s="1" t="n"/>
      <c r="B58" s="1" t="n"/>
      <c r="C58" s="1" t="n"/>
      <c r="D58" s="1" t="n"/>
      <c r="E58" s="1" t="n"/>
    </row>
    <row r="59">
      <c r="A59" s="1" t="n"/>
      <c r="B59" s="1" t="n"/>
      <c r="C59" s="1" t="n"/>
      <c r="D59" s="1" t="n"/>
      <c r="E59" s="1" t="n"/>
    </row>
    <row r="60">
      <c r="A60" s="1" t="n"/>
      <c r="B60" s="1" t="n"/>
      <c r="C60" s="1" t="n"/>
      <c r="D60" s="1" t="n"/>
      <c r="E60" s="1" t="n"/>
    </row>
    <row r="61">
      <c r="A61" s="1" t="n"/>
      <c r="B61" s="1" t="n"/>
      <c r="C61" s="1" t="n"/>
      <c r="D61" s="1" t="n"/>
      <c r="E61" s="1" t="n"/>
    </row>
    <row r="62">
      <c r="A62" s="1" t="n"/>
      <c r="B62" s="1" t="n"/>
      <c r="C62" s="1" t="n"/>
      <c r="D62" s="1" t="n"/>
      <c r="E62" s="1" t="n"/>
    </row>
    <row r="63">
      <c r="A63" s="1" t="n"/>
      <c r="B63" s="1" t="n"/>
      <c r="C63" s="1" t="n"/>
      <c r="D63" s="1" t="n"/>
      <c r="E63" s="1" t="n"/>
    </row>
    <row r="64">
      <c r="A64" s="1" t="n"/>
      <c r="B64" s="1" t="n"/>
      <c r="C64" s="1" t="n"/>
      <c r="D64" s="1" t="n"/>
      <c r="E64" s="1" t="n"/>
    </row>
    <row r="65">
      <c r="A65" s="1" t="n"/>
      <c r="B65" s="1" t="n"/>
      <c r="C65" s="1" t="n"/>
      <c r="D65" s="1" t="n"/>
      <c r="E65" s="1" t="n"/>
    </row>
    <row r="66">
      <c r="A66" s="1" t="n"/>
      <c r="B66" s="1" t="n"/>
      <c r="C66" s="1" t="n"/>
      <c r="D66" s="1" t="n"/>
      <c r="E66" s="1" t="n"/>
    </row>
    <row r="67">
      <c r="A67" s="1" t="n"/>
      <c r="B67" s="1" t="n"/>
      <c r="C67" s="1" t="n"/>
      <c r="D67" s="1" t="n"/>
      <c r="E67" s="1" t="n"/>
    </row>
    <row r="68">
      <c r="A68" s="1" t="n"/>
      <c r="B68" s="1" t="n"/>
      <c r="C68" s="1" t="n"/>
      <c r="D68" s="1" t="n"/>
      <c r="E68" s="1" t="n"/>
    </row>
    <row r="69">
      <c r="A69" s="1" t="n"/>
      <c r="B69" s="1" t="n"/>
      <c r="C69" s="1" t="n"/>
      <c r="D69" s="1" t="n"/>
      <c r="E69" s="1" t="n"/>
    </row>
    <row r="70">
      <c r="A70" s="1" t="n"/>
      <c r="B70" s="1" t="n"/>
      <c r="C70" s="1" t="n"/>
      <c r="D70" s="1" t="n"/>
      <c r="E70" s="1" t="n"/>
    </row>
    <row r="71">
      <c r="A71" s="1" t="n"/>
      <c r="B71" s="1" t="n"/>
      <c r="C71" s="1" t="n"/>
      <c r="D71" s="1" t="n"/>
      <c r="E71" s="1" t="n"/>
    </row>
    <row r="72">
      <c r="A72" s="1" t="n"/>
      <c r="B72" s="1" t="n"/>
      <c r="C72" s="1" t="n"/>
      <c r="D72" s="1" t="n"/>
      <c r="E72" s="1" t="n"/>
    </row>
    <row r="73">
      <c r="A73" s="1" t="n"/>
      <c r="B73" s="1" t="n"/>
      <c r="C73" s="1" t="n"/>
      <c r="D73" s="1" t="n"/>
      <c r="E73" s="1" t="n"/>
    </row>
    <row r="74">
      <c r="A74" s="1" t="n"/>
      <c r="B74" s="1" t="n"/>
      <c r="C74" s="1" t="n"/>
      <c r="D74" s="1" t="n"/>
      <c r="E74" s="1" t="n"/>
    </row>
    <row r="75">
      <c r="A75" s="1" t="n"/>
      <c r="B75" s="1" t="n"/>
      <c r="C75" s="1" t="n"/>
      <c r="D75" s="1" t="n"/>
      <c r="E75" s="1" t="n"/>
    </row>
    <row r="76">
      <c r="A76" s="1" t="n"/>
      <c r="B76" s="1" t="n"/>
      <c r="C76" s="1" t="n"/>
      <c r="D76" s="1" t="n"/>
      <c r="E76" s="1" t="n"/>
    </row>
    <row r="77">
      <c r="A77" s="1" t="n"/>
      <c r="B77" s="1" t="n"/>
      <c r="C77" s="1" t="n"/>
      <c r="D77" s="1" t="n"/>
      <c r="E77" s="1" t="n"/>
    </row>
    <row r="78">
      <c r="A78" s="1" t="n"/>
      <c r="B78" s="1" t="n"/>
      <c r="C78" s="1" t="n"/>
      <c r="D78" s="1" t="n"/>
      <c r="E78" s="1" t="n"/>
    </row>
    <row r="79">
      <c r="A79" s="1" t="n"/>
      <c r="B79" s="1" t="n"/>
      <c r="C79" s="1" t="n"/>
      <c r="D79" s="1" t="n"/>
      <c r="E79" s="1" t="n"/>
    </row>
    <row r="80">
      <c r="A80" s="1" t="n"/>
      <c r="B80" s="1" t="n"/>
      <c r="C80" s="1" t="n"/>
      <c r="D80" s="1" t="n"/>
      <c r="E80" s="1" t="n"/>
    </row>
    <row r="81">
      <c r="A81" s="1" t="n"/>
      <c r="B81" s="1" t="n"/>
      <c r="C81" s="1" t="n"/>
      <c r="D81" s="1" t="n"/>
      <c r="E81" s="1" t="n"/>
    </row>
    <row r="82">
      <c r="A82" s="1" t="n"/>
      <c r="B82" s="1" t="n"/>
      <c r="C82" s="1" t="n"/>
      <c r="D82" s="1" t="n"/>
      <c r="E82" s="1" t="n"/>
    </row>
    <row r="83">
      <c r="A83" s="1" t="n"/>
      <c r="B83" s="1" t="n"/>
      <c r="C83" s="1" t="n"/>
      <c r="D83" s="1" t="n"/>
      <c r="E83" s="1" t="n"/>
    </row>
    <row r="84">
      <c r="A84" s="1" t="n"/>
      <c r="B84" s="1" t="n"/>
      <c r="C84" s="1" t="n"/>
      <c r="D84" s="1" t="n"/>
      <c r="E84" s="1" t="n"/>
    </row>
    <row r="85">
      <c r="A85" s="1" t="n"/>
      <c r="B85" s="1" t="n"/>
      <c r="C85" s="1" t="n"/>
      <c r="D85" s="1" t="n"/>
      <c r="E85" s="1" t="n"/>
    </row>
    <row r="86">
      <c r="A86" s="1" t="n"/>
      <c r="B86" s="1" t="n"/>
      <c r="C86" s="1" t="n"/>
      <c r="D86" s="1" t="n"/>
      <c r="E86" s="1" t="n"/>
    </row>
    <row r="87">
      <c r="A87" s="1" t="n"/>
      <c r="B87" s="1" t="n"/>
      <c r="C87" s="1" t="n"/>
      <c r="D87" s="1" t="n"/>
      <c r="E87" s="1" t="n"/>
    </row>
    <row r="88">
      <c r="A88" s="1" t="n"/>
      <c r="B88" s="1" t="n"/>
      <c r="C88" s="1" t="n"/>
      <c r="D88" s="1" t="n"/>
      <c r="E88" s="1" t="n"/>
    </row>
    <row r="89">
      <c r="A89" s="1" t="n"/>
      <c r="B89" s="1" t="n"/>
      <c r="C89" s="1" t="n"/>
      <c r="D89" s="1" t="n"/>
      <c r="E89" s="1" t="n"/>
    </row>
    <row r="90">
      <c r="A90" s="1" t="n"/>
      <c r="B90" s="1" t="n"/>
      <c r="C90" s="1" t="n"/>
      <c r="D90" s="1" t="n"/>
      <c r="E90" s="1" t="n"/>
    </row>
    <row r="91">
      <c r="A91" s="1" t="n"/>
      <c r="B91" s="1" t="n"/>
      <c r="C91" s="1" t="n"/>
      <c r="D91" s="1" t="n"/>
      <c r="E91" s="1" t="n"/>
    </row>
    <row r="92">
      <c r="A92" s="1" t="n"/>
      <c r="B92" s="1" t="n"/>
      <c r="C92" s="1" t="n"/>
      <c r="D92" s="1" t="n"/>
      <c r="E92" s="1" t="n"/>
    </row>
    <row r="93">
      <c r="A93" s="1" t="n"/>
      <c r="B93" s="1" t="n"/>
      <c r="C93" s="1" t="n"/>
      <c r="D93" s="1" t="n"/>
      <c r="E93" s="1" t="n"/>
    </row>
    <row r="94">
      <c r="A94" s="1" t="n"/>
      <c r="B94" s="1" t="n"/>
      <c r="C94" s="1" t="n"/>
      <c r="D94" s="1" t="n"/>
      <c r="E94" s="1" t="n"/>
    </row>
    <row r="95">
      <c r="A95" s="1" t="n"/>
      <c r="B95" s="1" t="n"/>
      <c r="C95" s="1" t="n"/>
      <c r="D95" s="1" t="n"/>
      <c r="E95" s="1" t="n"/>
    </row>
    <row r="96">
      <c r="A96" s="1" t="n"/>
      <c r="B96" s="1" t="n"/>
      <c r="C96" s="1" t="n"/>
      <c r="D96" s="1" t="n"/>
      <c r="E96" s="1" t="n"/>
    </row>
    <row r="97">
      <c r="A97" s="1" t="n"/>
      <c r="B97" s="1" t="n"/>
      <c r="C97" s="1" t="n"/>
      <c r="D97" s="1" t="n"/>
      <c r="E97" s="1" t="n"/>
    </row>
    <row r="98">
      <c r="A98" s="1" t="n"/>
      <c r="B98" s="1" t="n"/>
      <c r="C98" s="1" t="n"/>
      <c r="D98" s="1" t="n"/>
      <c r="E98" s="1" t="n"/>
    </row>
    <row r="99">
      <c r="A99" s="1" t="n"/>
      <c r="B99" s="1" t="n"/>
      <c r="C99" s="1" t="n"/>
      <c r="D99" s="1" t="n"/>
      <c r="E99" s="1" t="n"/>
    </row>
    <row r="100">
      <c r="A100" s="1" t="n"/>
      <c r="B100" s="1" t="n"/>
      <c r="C100" s="1" t="n"/>
      <c r="D100" s="1" t="n"/>
      <c r="E100" s="1" t="n"/>
    </row>
    <row r="101">
      <c r="A101" s="1" t="n"/>
      <c r="B101" s="1" t="n"/>
      <c r="C101" s="1" t="n"/>
      <c r="D101" s="1" t="n"/>
      <c r="E101" s="1" t="n"/>
    </row>
    <row r="102">
      <c r="A102" s="1" t="n"/>
      <c r="B102" s="1" t="n"/>
      <c r="C102" s="1" t="n"/>
      <c r="D102" s="1" t="n"/>
      <c r="E102" s="1" t="n"/>
    </row>
    <row r="103">
      <c r="A103" s="1" t="n"/>
      <c r="B103" s="1" t="n"/>
      <c r="C103" s="1" t="n"/>
      <c r="D103" s="1" t="n"/>
      <c r="E103" s="1" t="n"/>
    </row>
    <row r="104">
      <c r="A104" s="1" t="n"/>
      <c r="B104" s="1" t="n"/>
      <c r="C104" s="1" t="n"/>
      <c r="D104" s="1" t="n"/>
      <c r="E104" s="1" t="n"/>
    </row>
    <row r="105">
      <c r="A105" s="1" t="n"/>
      <c r="B105" s="1" t="n"/>
      <c r="C105" s="1" t="n"/>
      <c r="D105" s="1" t="n"/>
      <c r="E105" s="1" t="n"/>
    </row>
    <row r="106">
      <c r="A106" s="1" t="n"/>
      <c r="B106" s="1" t="n"/>
      <c r="C106" s="1" t="n"/>
      <c r="D106" s="1" t="n"/>
      <c r="E106" s="1" t="n"/>
    </row>
    <row r="107">
      <c r="A107" s="1" t="n"/>
      <c r="B107" s="1" t="n"/>
      <c r="C107" s="1" t="n"/>
      <c r="D107" s="1" t="n"/>
      <c r="E107" s="1" t="n"/>
    </row>
    <row r="108">
      <c r="A108" s="1" t="n"/>
      <c r="B108" s="1" t="n"/>
      <c r="C108" s="1" t="n"/>
      <c r="D108" s="1" t="n"/>
      <c r="E108" s="1" t="n"/>
    </row>
    <row r="109">
      <c r="A109" s="1" t="n"/>
      <c r="B109" s="1" t="n"/>
      <c r="C109" s="1" t="n"/>
      <c r="D109" s="1" t="n"/>
      <c r="E109" s="1" t="n"/>
    </row>
    <row r="110">
      <c r="A110" s="1" t="n"/>
      <c r="B110" s="1" t="n"/>
      <c r="C110" s="1" t="n"/>
      <c r="D110" s="1" t="n"/>
      <c r="E110" s="1" t="n"/>
    </row>
    <row r="111">
      <c r="A111" s="1" t="n"/>
      <c r="B111" s="1" t="n"/>
      <c r="C111" s="1" t="n"/>
      <c r="D111" s="1" t="n"/>
      <c r="E111" s="1" t="n"/>
    </row>
    <row r="112">
      <c r="A112" s="1" t="n"/>
      <c r="B112" s="1" t="n"/>
      <c r="C112" s="1" t="n"/>
      <c r="D112" s="1" t="n"/>
      <c r="E112" s="1" t="n"/>
    </row>
    <row r="113">
      <c r="A113" s="1" t="n"/>
      <c r="B113" s="1" t="n"/>
      <c r="C113" s="1" t="n"/>
      <c r="D113" s="1" t="n"/>
      <c r="E113" s="1" t="n"/>
    </row>
    <row r="114">
      <c r="A114" s="1" t="n"/>
      <c r="B114" s="1" t="n"/>
      <c r="C114" s="1" t="n"/>
      <c r="D114" s="1" t="n"/>
      <c r="E114" s="1" t="n"/>
    </row>
    <row r="115">
      <c r="A115" s="1" t="n"/>
      <c r="B115" s="1" t="n"/>
      <c r="C115" s="1" t="n"/>
      <c r="D115" s="1" t="n"/>
      <c r="E115" s="1" t="n"/>
    </row>
    <row r="116">
      <c r="A116" s="1" t="n"/>
      <c r="B116" s="1" t="n"/>
      <c r="C116" s="1" t="n"/>
      <c r="D116" s="1" t="n"/>
      <c r="E116" s="1" t="n"/>
    </row>
    <row r="117">
      <c r="A117" s="1" t="n"/>
      <c r="B117" s="1" t="n"/>
      <c r="C117" s="1" t="n"/>
      <c r="D117" s="1" t="n"/>
      <c r="E117" s="1" t="n"/>
    </row>
    <row r="118">
      <c r="A118" s="1" t="n"/>
      <c r="B118" s="1" t="n"/>
      <c r="C118" s="1" t="n"/>
      <c r="D118" s="1" t="n"/>
      <c r="E118" s="1" t="n"/>
    </row>
    <row r="119">
      <c r="A119" s="1" t="n"/>
      <c r="B119" s="1" t="n"/>
      <c r="C119" s="1" t="n"/>
      <c r="D119" s="1" t="n"/>
      <c r="E119" s="1" t="n"/>
    </row>
    <row r="120">
      <c r="A120" s="1" t="n"/>
      <c r="B120" s="1" t="n"/>
      <c r="C120" s="1" t="n"/>
      <c r="D120" s="1" t="n"/>
      <c r="E120" s="1" t="n"/>
    </row>
  </sheetData>
  <mergeCells count="19">
    <mergeCell ref="C4:C5"/>
    <mergeCell ref="B15"/>
    <mergeCell ref="B30:E30"/>
    <mergeCell ref="B6"/>
    <mergeCell ref="D15"/>
    <mergeCell ref="D4:D5"/>
    <mergeCell ref="C15"/>
    <mergeCell ref="D7:D8"/>
    <mergeCell ref="C6"/>
    <mergeCell ref="B1:E2"/>
    <mergeCell ref="C9:C14"/>
    <mergeCell ref="D6"/>
    <mergeCell ref="C7:C8"/>
    <mergeCell ref="B17:E17"/>
    <mergeCell ref="B9:B14"/>
    <mergeCell ref="B4:B5"/>
    <mergeCell ref="D9:D14"/>
    <mergeCell ref="B7:B8"/>
    <mergeCell ref="B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3498DB"/>
    <outlinePr summaryBelow="1" summaryRight="1"/>
    <pageSetUpPr/>
  </sheetPr>
  <dimension ref="A1:I1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.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6" customWidth="1" min="9" max="9"/>
  </cols>
  <sheetData>
    <row r="1" ht="22" customHeight="1">
      <c r="A1" s="1" t="n"/>
      <c r="B1" s="27" t="inlineStr">
        <is>
          <t xml:space="preserve">  ◈  REVENUE PLANNER  ·  12-MONTH TRACKER</t>
        </is>
      </c>
    </row>
    <row r="2" ht="22" customHeight="1">
      <c r="A2" s="1" t="n"/>
    </row>
    <row r="3" ht="10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</row>
    <row r="4" ht="20" customHeight="1">
      <c r="A4" s="1" t="n"/>
      <c r="B4" s="3" t="inlineStr">
        <is>
          <t xml:space="preserve">  ANNUAL TARGET</t>
        </is>
      </c>
    </row>
    <row r="5" ht="22" customHeight="1">
      <c r="A5" s="1" t="n"/>
      <c r="B5" s="17" t="inlineStr">
        <is>
          <t>ANNUAL GOAL</t>
        </is>
      </c>
      <c r="C5" s="1" t="n"/>
      <c r="D5" s="17" t="inlineStr">
        <is>
          <t>MONTHS LEFT</t>
        </is>
      </c>
      <c r="E5" s="17" t="inlineStr">
        <is>
          <t>MONTHLY NEEDED</t>
        </is>
      </c>
      <c r="F5" s="17" t="inlineStr">
        <is>
          <t>YTD COLLECTED</t>
        </is>
      </c>
      <c r="G5" s="17" t="inlineStr">
        <is>
          <t>PIPELINE NEED</t>
        </is>
      </c>
      <c r="H5" s="1" t="n"/>
      <c r="I5" s="1" t="n"/>
    </row>
    <row r="6" ht="20" customHeight="1">
      <c r="A6" s="1" t="n"/>
      <c r="B6" s="67" t="n">
        <v>36000</v>
      </c>
      <c r="C6" s="1" t="n"/>
      <c r="D6" s="68">
        <f>6</f>
        <v/>
      </c>
      <c r="E6" s="69">
        <f>IFERROR((B5-SUM(D14:D25))/(12-MONTH(TODAY())),0)</f>
        <v/>
      </c>
      <c r="F6" s="70">
        <f>SUM(D14:D25)</f>
        <v/>
      </c>
      <c r="G6" s="71">
        <f>MAX(0,B5-SUM(D14:D25))</f>
        <v/>
      </c>
      <c r="H6" s="1" t="n"/>
      <c r="I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</row>
    <row r="12" ht="20" customHeight="1">
      <c r="A12" s="1" t="n"/>
      <c r="B12" s="3" t="inlineStr">
        <is>
          <t xml:space="preserve">  MONTHLY BREAKDOWN</t>
        </is>
      </c>
    </row>
    <row r="13" ht="18" customHeight="1">
      <c r="A13" s="35" t="inlineStr">
        <is>
          <t>MONTH</t>
        </is>
      </c>
      <c r="B13" s="35" t="inlineStr">
        <is>
          <t>BOOKED</t>
        </is>
      </c>
      <c r="C13" s="35" t="inlineStr">
        <is>
          <t>PROJECTED</t>
        </is>
      </c>
      <c r="D13" s="35" t="inlineStr">
        <is>
          <t>COLLECTED</t>
        </is>
      </c>
      <c r="E13" s="35" t="inlineStr">
        <is>
          <t>OUTSTANDING</t>
        </is>
      </c>
      <c r="F13" s="35" t="inlineStr">
        <is>
          <t>EXPENSES</t>
        </is>
      </c>
      <c r="G13" s="35" t="inlineStr">
        <is>
          <t>NET PROFIT</t>
        </is>
      </c>
      <c r="H13" s="35" t="inlineStr">
        <is>
          <t>MARGIN %</t>
        </is>
      </c>
      <c r="I13" s="35" t="inlineStr">
        <is>
          <t>PROGRESS</t>
        </is>
      </c>
    </row>
    <row r="14" ht="16" customHeight="1">
      <c r="A14" s="13" t="inlineStr">
        <is>
          <t>January</t>
        </is>
      </c>
      <c r="B14" s="72" t="n">
        <v>2800</v>
      </c>
      <c r="C14" s="72" t="n">
        <v>3000</v>
      </c>
      <c r="D14" s="72" t="n">
        <v>2800</v>
      </c>
      <c r="E14" s="72" t="n">
        <v>0</v>
      </c>
      <c r="F14" s="72" t="n">
        <v>620</v>
      </c>
      <c r="G14" s="73" t="n">
        <v>2180</v>
      </c>
      <c r="H14" s="74" t="n">
        <v>0.779</v>
      </c>
      <c r="I14" s="75" t="inlineStr">
        <is>
          <t>███████████████</t>
        </is>
      </c>
    </row>
    <row r="15" ht="16" customHeight="1">
      <c r="A15" s="19" t="inlineStr">
        <is>
          <t>February</t>
        </is>
      </c>
      <c r="B15" s="64" t="n">
        <v>1800</v>
      </c>
      <c r="C15" s="64" t="n">
        <v>2000</v>
      </c>
      <c r="D15" s="64" t="n">
        <v>1800</v>
      </c>
      <c r="E15" s="64" t="n">
        <v>0</v>
      </c>
      <c r="F15" s="64" t="n">
        <v>540</v>
      </c>
      <c r="G15" s="76" t="n">
        <v>1260</v>
      </c>
      <c r="H15" s="77" t="n">
        <v>0.7</v>
      </c>
      <c r="I15" s="78" t="inlineStr">
        <is>
          <t>███████████████</t>
        </is>
      </c>
    </row>
    <row r="16" ht="16" customHeight="1">
      <c r="A16" s="13" t="inlineStr">
        <is>
          <t>March</t>
        </is>
      </c>
      <c r="B16" s="72" t="n">
        <v>3500</v>
      </c>
      <c r="C16" s="72" t="n">
        <v>3500</v>
      </c>
      <c r="D16" s="72" t="n">
        <v>3200</v>
      </c>
      <c r="E16" s="72" t="n">
        <v>300</v>
      </c>
      <c r="F16" s="72" t="n">
        <v>700</v>
      </c>
      <c r="G16" s="73" t="n">
        <v>2500</v>
      </c>
      <c r="H16" s="74" t="n">
        <v>0.7809999999999999</v>
      </c>
      <c r="I16" s="79" t="inlineStr">
        <is>
          <t>█████████████░░</t>
        </is>
      </c>
    </row>
    <row r="17" ht="16" customHeight="1">
      <c r="A17" s="19" t="inlineStr">
        <is>
          <t>April</t>
        </is>
      </c>
      <c r="B17" s="64" t="n">
        <v>2200</v>
      </c>
      <c r="C17" s="64" t="n">
        <v>2500</v>
      </c>
      <c r="D17" s="64" t="n">
        <v>2200</v>
      </c>
      <c r="E17" s="64" t="n">
        <v>0</v>
      </c>
      <c r="F17" s="64" t="n">
        <v>580</v>
      </c>
      <c r="G17" s="76" t="n">
        <v>1620</v>
      </c>
      <c r="H17" s="77" t="n">
        <v>0.736</v>
      </c>
      <c r="I17" s="78" t="inlineStr">
        <is>
          <t>███████████████</t>
        </is>
      </c>
    </row>
    <row r="18" ht="16" customHeight="1">
      <c r="A18" s="13" t="inlineStr">
        <is>
          <t>May</t>
        </is>
      </c>
      <c r="B18" s="72" t="n">
        <v>4200</v>
      </c>
      <c r="C18" s="72" t="n">
        <v>4000</v>
      </c>
      <c r="D18" s="72" t="n">
        <v>3800</v>
      </c>
      <c r="E18" s="72" t="n">
        <v>400</v>
      </c>
      <c r="F18" s="72" t="n">
        <v>820</v>
      </c>
      <c r="G18" s="73" t="n">
        <v>2980</v>
      </c>
      <c r="H18" s="74" t="n">
        <v>0.784</v>
      </c>
      <c r="I18" s="79" t="inlineStr">
        <is>
          <t>█████████████░░</t>
        </is>
      </c>
    </row>
    <row r="19" ht="16" customHeight="1">
      <c r="A19" s="19" t="inlineStr">
        <is>
          <t>June</t>
        </is>
      </c>
      <c r="B19" s="64" t="n">
        <v>1500</v>
      </c>
      <c r="C19" s="64" t="n">
        <v>2000</v>
      </c>
      <c r="D19" s="64" t="n">
        <v>0</v>
      </c>
      <c r="E19" s="64" t="n">
        <v>0</v>
      </c>
      <c r="F19" s="64" t="n">
        <v>450</v>
      </c>
      <c r="G19" s="64" t="n">
        <v>0</v>
      </c>
      <c r="H19" s="80" t="n">
        <v>0</v>
      </c>
      <c r="I19" s="81" t="inlineStr">
        <is>
          <t>░░░░░░░░░░░░░░░</t>
        </is>
      </c>
    </row>
    <row r="20" ht="16" customHeight="1">
      <c r="A20" s="13" t="inlineStr">
        <is>
          <t>July</t>
        </is>
      </c>
      <c r="B20" s="72" t="n">
        <v>0</v>
      </c>
      <c r="C20" s="72" t="n">
        <v>2500</v>
      </c>
      <c r="D20" s="72" t="n">
        <v>0</v>
      </c>
      <c r="E20" s="72" t="n">
        <v>0</v>
      </c>
      <c r="F20" s="72" t="n">
        <v>0</v>
      </c>
      <c r="G20" s="72" t="n">
        <v>0</v>
      </c>
      <c r="H20" s="82" t="n">
        <v>0</v>
      </c>
      <c r="I20" s="79" t="inlineStr">
        <is>
          <t>░░░░░░░░░░░░░░░</t>
        </is>
      </c>
    </row>
    <row r="21" ht="16" customHeight="1">
      <c r="A21" s="19" t="inlineStr">
        <is>
          <t>August</t>
        </is>
      </c>
      <c r="B21" s="64" t="n">
        <v>0</v>
      </c>
      <c r="C21" s="64" t="n">
        <v>3000</v>
      </c>
      <c r="D21" s="64" t="n">
        <v>0</v>
      </c>
      <c r="E21" s="64" t="n">
        <v>0</v>
      </c>
      <c r="F21" s="64" t="n">
        <v>0</v>
      </c>
      <c r="G21" s="64" t="n">
        <v>0</v>
      </c>
      <c r="H21" s="80" t="n">
        <v>0</v>
      </c>
      <c r="I21" s="81" t="inlineStr">
        <is>
          <t>░░░░░░░░░░░░░░░</t>
        </is>
      </c>
    </row>
    <row r="22" ht="16" customHeight="1">
      <c r="A22" s="13" t="inlineStr">
        <is>
          <t>September</t>
        </is>
      </c>
      <c r="B22" s="72" t="n">
        <v>0</v>
      </c>
      <c r="C22" s="72" t="n">
        <v>2800</v>
      </c>
      <c r="D22" s="72" t="n">
        <v>0</v>
      </c>
      <c r="E22" s="72" t="n">
        <v>0</v>
      </c>
      <c r="F22" s="72" t="n">
        <v>0</v>
      </c>
      <c r="G22" s="72" t="n">
        <v>0</v>
      </c>
      <c r="H22" s="82" t="n">
        <v>0</v>
      </c>
      <c r="I22" s="79" t="inlineStr">
        <is>
          <t>░░░░░░░░░░░░░░░</t>
        </is>
      </c>
    </row>
    <row r="23" ht="16" customHeight="1">
      <c r="A23" s="19" t="inlineStr">
        <is>
          <t>October</t>
        </is>
      </c>
      <c r="B23" s="64" t="n">
        <v>0</v>
      </c>
      <c r="C23" s="64" t="n">
        <v>3200</v>
      </c>
      <c r="D23" s="64" t="n">
        <v>0</v>
      </c>
      <c r="E23" s="64" t="n">
        <v>0</v>
      </c>
      <c r="F23" s="64" t="n">
        <v>0</v>
      </c>
      <c r="G23" s="64" t="n">
        <v>0</v>
      </c>
      <c r="H23" s="80" t="n">
        <v>0</v>
      </c>
      <c r="I23" s="81" t="inlineStr">
        <is>
          <t>░░░░░░░░░░░░░░░</t>
        </is>
      </c>
    </row>
    <row r="24" ht="16" customHeight="1">
      <c r="A24" s="13" t="inlineStr">
        <is>
          <t>November</t>
        </is>
      </c>
      <c r="B24" s="72" t="n">
        <v>0</v>
      </c>
      <c r="C24" s="72" t="n">
        <v>3500</v>
      </c>
      <c r="D24" s="72" t="n">
        <v>0</v>
      </c>
      <c r="E24" s="72" t="n">
        <v>0</v>
      </c>
      <c r="F24" s="72" t="n">
        <v>0</v>
      </c>
      <c r="G24" s="72" t="n">
        <v>0</v>
      </c>
      <c r="H24" s="82" t="n">
        <v>0</v>
      </c>
      <c r="I24" s="79" t="inlineStr">
        <is>
          <t>░░░░░░░░░░░░░░░</t>
        </is>
      </c>
    </row>
    <row r="25" ht="16" customHeight="1">
      <c r="A25" s="19" t="inlineStr">
        <is>
          <t>December</t>
        </is>
      </c>
      <c r="B25" s="64" t="n">
        <v>0</v>
      </c>
      <c r="C25" s="64" t="n">
        <v>4000</v>
      </c>
      <c r="D25" s="64" t="n">
        <v>0</v>
      </c>
      <c r="E25" s="64" t="n">
        <v>0</v>
      </c>
      <c r="F25" s="64" t="n">
        <v>0</v>
      </c>
      <c r="G25" s="64" t="n">
        <v>0</v>
      </c>
      <c r="H25" s="80" t="n">
        <v>0</v>
      </c>
      <c r="I25" s="81" t="inlineStr">
        <is>
          <t>░░░░░░░░░░░░░░░</t>
        </is>
      </c>
    </row>
    <row r="26" ht="20" customHeight="1">
      <c r="A26" s="83" t="inlineStr">
        <is>
          <t>TOTALS</t>
        </is>
      </c>
      <c r="B26" s="84">
        <f>SUM(B14:B25)</f>
        <v/>
      </c>
      <c r="C26" s="84">
        <f>SUM(C14:C25)</f>
        <v/>
      </c>
      <c r="D26" s="84">
        <f>SUM(D14:D25)</f>
        <v/>
      </c>
      <c r="E26" s="84">
        <f>SUM(E14:E25)</f>
        <v/>
      </c>
      <c r="F26" s="84">
        <f>SUM(F14:F25)</f>
        <v/>
      </c>
      <c r="G26" s="84">
        <f>SUM(G14:G25)</f>
        <v/>
      </c>
      <c r="H26" s="51" t="n"/>
      <c r="I26" s="5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</row>
  </sheetData>
  <mergeCells count="3">
    <mergeCell ref="B12:I12"/>
    <mergeCell ref="B4:I4"/>
    <mergeCell ref="B1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9B59B6"/>
    <outlinePr summaryBelow="1" summaryRight="1"/>
    <pageSetUpPr/>
  </sheetPr>
  <dimension ref="A1:M12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8" customWidth="1" min="2" max="2"/>
    <col width="8" customWidth="1" min="3" max="3"/>
    <col width="1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8" customWidth="1" min="12" max="12"/>
    <col width="8" customWidth="1" min="13" max="13"/>
  </cols>
  <sheetData>
    <row r="1" ht="22" customHeight="1">
      <c r="A1" s="1" t="n"/>
      <c r="B1" s="27" t="inlineStr">
        <is>
          <t xml:space="preserve">  ◈  LIFE GAMIFIER  ·  CHARACTER DASHBOARD</t>
        </is>
      </c>
    </row>
    <row r="2" ht="20" customHeight="1">
      <c r="A2" s="1" t="n"/>
      <c r="B2" s="17" t="inlineStr">
        <is>
          <t>YOUR NAME</t>
        </is>
      </c>
      <c r="C2" s="85" t="inlineStr">
        <is>
          <t>[ YOUR NAME HERE ]</t>
        </is>
      </c>
    </row>
    <row r="3" ht="18" customHeight="1">
      <c r="A3" s="1" t="n"/>
      <c r="B3" s="17" t="inlineStr">
        <is>
          <t>CLASS</t>
        </is>
      </c>
      <c r="C3" s="86" t="inlineStr">
        <is>
          <t>Cinematographer  ·  Visual Storyteller</t>
        </is>
      </c>
    </row>
    <row r="4" ht="22" customHeight="1">
      <c r="A4" s="1" t="n"/>
      <c r="B4" s="17" t="inlineStr">
        <is>
          <t>LEVEL</t>
        </is>
      </c>
      <c r="C4" s="87">
        <f>IFERROR(VLOOKUP(B6,Lookup!$D$2:$E$31,2,TRUE),"Apprentice")</f>
        <v/>
      </c>
      <c r="D4" s="88" t="inlineStr">
        <is>
          <t>RANK:</t>
        </is>
      </c>
      <c r="G4" s="89">
        <f>IFERROR(VLOOKUP(B6,Lookup!$D$2:$E$31,3,FALSE),"Apprentice")</f>
        <v/>
      </c>
    </row>
    <row r="5" ht="18" customHeight="1">
      <c r="A5" s="1" t="n"/>
      <c r="B5" s="17" t="inlineStr">
        <is>
          <t>TOTAL XP</t>
        </is>
      </c>
      <c r="C5" s="90">
        <f>IFERROR(SUM(L44:L73),0)</f>
        <v/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 ht="18" customHeight="1">
      <c r="A6" s="1" t="n"/>
      <c r="B6" s="17" t="inlineStr">
        <is>
          <t>XP BAR</t>
        </is>
      </c>
      <c r="C6" s="91">
        <f>REPT("█",MIN(20,INT(IFERROR(SUM(L44:L73),0)/500)))&amp;REPT("░",MAX(0,20-MIN(20,INT(IFERROR(SUM(L44:L73),0)/500))))</f>
        <v/>
      </c>
      <c r="K6" s="14" t="inlineStr">
        <is>
          <t>/ 10,000 XP</t>
        </is>
      </c>
    </row>
    <row r="7" ht="16" customHeight="1">
      <c r="A7" s="1" t="n"/>
      <c r="B7" s="17" t="inlineStr">
        <is>
          <t>STREAK</t>
        </is>
      </c>
      <c r="C7" s="92">
        <f>IFERROR(COUNTIF(M44:M73,TRUE),0)</f>
        <v/>
      </c>
      <c r="D7" s="58" t="inlineStr">
        <is>
          <t>days with at least one habit completed</t>
        </is>
      </c>
    </row>
    <row r="8" ht="10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 ht="20" customHeight="1">
      <c r="A9" s="1" t="n"/>
      <c r="B9" s="3" t="inlineStr">
        <is>
          <t xml:space="preserve">  🎬  CRAFT</t>
        </is>
      </c>
    </row>
    <row r="10" ht="16" customHeight="1">
      <c r="A10" s="1" t="n"/>
      <c r="B10" s="93" t="inlineStr">
        <is>
          <t>HABIT</t>
        </is>
      </c>
      <c r="C10" s="94" t="inlineStr">
        <is>
          <t>XP</t>
        </is>
      </c>
      <c r="D10" s="1" t="n"/>
      <c r="E10" s="94" t="inlineStr">
        <is>
          <t>M</t>
        </is>
      </c>
      <c r="F10" s="94" t="inlineStr">
        <is>
          <t>T</t>
        </is>
      </c>
      <c r="G10" s="94" t="inlineStr">
        <is>
          <t>W</t>
        </is>
      </c>
      <c r="H10" s="94" t="inlineStr">
        <is>
          <t>T</t>
        </is>
      </c>
      <c r="I10" s="94" t="inlineStr">
        <is>
          <t>F</t>
        </is>
      </c>
      <c r="J10" s="94" t="inlineStr">
        <is>
          <t>S</t>
        </is>
      </c>
      <c r="K10" s="94" t="inlineStr">
        <is>
          <t>S</t>
        </is>
      </c>
      <c r="L10" s="94" t="inlineStr">
        <is>
          <t>DONE</t>
        </is>
      </c>
      <c r="M10" s="94" t="inlineStr">
        <is>
          <t>XP ✓</t>
        </is>
      </c>
    </row>
    <row r="11" ht="16" customHeight="1">
      <c r="A11" s="1" t="n"/>
      <c r="B11" s="95" t="inlineStr">
        <is>
          <t>Review reference films</t>
        </is>
      </c>
      <c r="C11" s="96" t="n">
        <v>20</v>
      </c>
      <c r="D11" s="52" t="inlineStr"/>
      <c r="E11" s="97" t="inlineStr">
        <is>
          <t>✓</t>
        </is>
      </c>
      <c r="F11" s="97" t="inlineStr">
        <is>
          <t>✓</t>
        </is>
      </c>
      <c r="G11" s="97" t="inlineStr">
        <is>
          <t>✓</t>
        </is>
      </c>
      <c r="H11" s="97" t="inlineStr">
        <is>
          <t>✓</t>
        </is>
      </c>
      <c r="I11" s="97" t="inlineStr">
        <is>
          <t>✓</t>
        </is>
      </c>
      <c r="J11" s="98" t="inlineStr">
        <is>
          <t>—</t>
        </is>
      </c>
      <c r="K11" s="98" t="inlineStr">
        <is>
          <t>—</t>
        </is>
      </c>
      <c r="L11" s="96">
        <f>COUNTIF(E11:K11,"✓")</f>
        <v/>
      </c>
      <c r="M11" s="96">
        <f>IF(L11&gt;0,C11,0)</f>
        <v/>
      </c>
    </row>
    <row r="12" ht="16" customHeight="1">
      <c r="A12" s="1" t="n"/>
      <c r="B12" s="95" t="inlineStr">
        <is>
          <t>Practice shot composition</t>
        </is>
      </c>
      <c r="C12" s="96" t="n">
        <v>15</v>
      </c>
      <c r="D12" s="52" t="inlineStr"/>
      <c r="E12" s="97" t="inlineStr">
        <is>
          <t>✓</t>
        </is>
      </c>
      <c r="F12" s="97" t="inlineStr">
        <is>
          <t>✓</t>
        </is>
      </c>
      <c r="G12" s="97" t="inlineStr">
        <is>
          <t>✓</t>
        </is>
      </c>
      <c r="H12" s="97" t="inlineStr">
        <is>
          <t>✓</t>
        </is>
      </c>
      <c r="I12" s="97" t="inlineStr">
        <is>
          <t>✓</t>
        </is>
      </c>
      <c r="J12" s="98" t="inlineStr">
        <is>
          <t>—</t>
        </is>
      </c>
      <c r="K12" s="98" t="inlineStr">
        <is>
          <t>—</t>
        </is>
      </c>
      <c r="L12" s="96">
        <f>COUNTIF(E12:K12,"✓")</f>
        <v/>
      </c>
      <c r="M12" s="96">
        <f>IF(L12&gt;0,C12,0)</f>
        <v/>
      </c>
    </row>
    <row r="13" ht="16" customHeight="1">
      <c r="A13" s="1" t="n"/>
      <c r="B13" s="95" t="inlineStr">
        <is>
          <t>Edit personal project footage</t>
        </is>
      </c>
      <c r="C13" s="96" t="n">
        <v>25</v>
      </c>
      <c r="D13" s="52" t="inlineStr"/>
      <c r="E13" s="98" t="inlineStr">
        <is>
          <t>—</t>
        </is>
      </c>
      <c r="F13" s="98" t="inlineStr">
        <is>
          <t>—</t>
        </is>
      </c>
      <c r="G13" s="98" t="inlineStr">
        <is>
          <t>—</t>
        </is>
      </c>
      <c r="H13" s="98" t="inlineStr">
        <is>
          <t>—</t>
        </is>
      </c>
      <c r="I13" s="98" t="inlineStr">
        <is>
          <t>—</t>
        </is>
      </c>
      <c r="J13" s="98" t="inlineStr">
        <is>
          <t>—</t>
        </is>
      </c>
      <c r="K13" s="98" t="inlineStr">
        <is>
          <t>—</t>
        </is>
      </c>
      <c r="L13" s="96">
        <f>COUNTIF(E13:K13,"✓")</f>
        <v/>
      </c>
      <c r="M13" s="96">
        <f>IF(L13&gt;0,C13,0)</f>
        <v/>
      </c>
    </row>
    <row r="14" ht="16" customHeight="1">
      <c r="A14" s="1" t="n"/>
      <c r="B14" s="95" t="inlineStr">
        <is>
          <t>Study color grading technique</t>
        </is>
      </c>
      <c r="C14" s="96" t="n">
        <v>15</v>
      </c>
      <c r="D14" s="52" t="inlineStr"/>
      <c r="E14" s="97" t="inlineStr">
        <is>
          <t>✓</t>
        </is>
      </c>
      <c r="F14" s="97" t="inlineStr">
        <is>
          <t>✓</t>
        </is>
      </c>
      <c r="G14" s="97" t="inlineStr">
        <is>
          <t>✓</t>
        </is>
      </c>
      <c r="H14" s="97" t="inlineStr">
        <is>
          <t>✓</t>
        </is>
      </c>
      <c r="I14" s="97" t="inlineStr">
        <is>
          <t>✓</t>
        </is>
      </c>
      <c r="J14" s="98" t="inlineStr">
        <is>
          <t>—</t>
        </is>
      </c>
      <c r="K14" s="98" t="inlineStr">
        <is>
          <t>—</t>
        </is>
      </c>
      <c r="L14" s="96">
        <f>COUNTIF(E14:K14,"✓")</f>
        <v/>
      </c>
      <c r="M14" s="96">
        <f>IF(L14&gt;0,C14,0)</f>
        <v/>
      </c>
    </row>
    <row r="15" ht="8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</row>
    <row r="16" ht="20" customHeight="1">
      <c r="A16" s="1" t="n"/>
      <c r="B16" s="99" t="inlineStr">
        <is>
          <t xml:space="preserve">  💪  BODY</t>
        </is>
      </c>
    </row>
    <row r="17" ht="16" customHeight="1">
      <c r="A17" s="1" t="n"/>
      <c r="B17" s="100" t="inlineStr">
        <is>
          <t>HABIT</t>
        </is>
      </c>
      <c r="C17" s="101" t="inlineStr">
        <is>
          <t>XP</t>
        </is>
      </c>
      <c r="D17" s="1" t="n"/>
      <c r="E17" s="101" t="inlineStr">
        <is>
          <t>M</t>
        </is>
      </c>
      <c r="F17" s="101" t="inlineStr">
        <is>
          <t>T</t>
        </is>
      </c>
      <c r="G17" s="101" t="inlineStr">
        <is>
          <t>W</t>
        </is>
      </c>
      <c r="H17" s="101" t="inlineStr">
        <is>
          <t>T</t>
        </is>
      </c>
      <c r="I17" s="101" t="inlineStr">
        <is>
          <t>F</t>
        </is>
      </c>
      <c r="J17" s="101" t="inlineStr">
        <is>
          <t>S</t>
        </is>
      </c>
      <c r="K17" s="101" t="inlineStr">
        <is>
          <t>S</t>
        </is>
      </c>
      <c r="L17" s="101" t="inlineStr">
        <is>
          <t>DONE</t>
        </is>
      </c>
      <c r="M17" s="101" t="inlineStr">
        <is>
          <t>XP ✓</t>
        </is>
      </c>
    </row>
    <row r="18" ht="16" customHeight="1">
      <c r="A18" s="1" t="n"/>
      <c r="B18" s="102" t="inlineStr">
        <is>
          <t>Workout / Movement (30 min+)</t>
        </is>
      </c>
      <c r="C18" s="103" t="n">
        <v>20</v>
      </c>
      <c r="D18" s="104" t="inlineStr"/>
      <c r="E18" s="105" t="inlineStr">
        <is>
          <t>✓</t>
        </is>
      </c>
      <c r="F18" s="105" t="inlineStr">
        <is>
          <t>✓</t>
        </is>
      </c>
      <c r="G18" s="105" t="inlineStr">
        <is>
          <t>✓</t>
        </is>
      </c>
      <c r="H18" s="105" t="inlineStr">
        <is>
          <t>✓</t>
        </is>
      </c>
      <c r="I18" s="105" t="inlineStr">
        <is>
          <t>✓</t>
        </is>
      </c>
      <c r="J18" s="106" t="inlineStr">
        <is>
          <t>—</t>
        </is>
      </c>
      <c r="K18" s="106" t="inlineStr">
        <is>
          <t>—</t>
        </is>
      </c>
      <c r="L18" s="103">
        <f>COUNTIF(E18:K18,"✓")</f>
        <v/>
      </c>
      <c r="M18" s="107">
        <f>IF(L18&gt;0,C18,0)</f>
        <v/>
      </c>
    </row>
    <row r="19" ht="16" customHeight="1">
      <c r="A19" s="1" t="n"/>
      <c r="B19" s="102" t="inlineStr">
        <is>
          <t>8 hours of quality sleep</t>
        </is>
      </c>
      <c r="C19" s="103" t="n">
        <v>15</v>
      </c>
      <c r="D19" s="104" t="inlineStr"/>
      <c r="E19" s="106" t="inlineStr">
        <is>
          <t>—</t>
        </is>
      </c>
      <c r="F19" s="106" t="inlineStr">
        <is>
          <t>—</t>
        </is>
      </c>
      <c r="G19" s="106" t="inlineStr">
        <is>
          <t>—</t>
        </is>
      </c>
      <c r="H19" s="106" t="inlineStr">
        <is>
          <t>—</t>
        </is>
      </c>
      <c r="I19" s="106" t="inlineStr">
        <is>
          <t>—</t>
        </is>
      </c>
      <c r="J19" s="106" t="inlineStr">
        <is>
          <t>—</t>
        </is>
      </c>
      <c r="K19" s="106" t="inlineStr">
        <is>
          <t>—</t>
        </is>
      </c>
      <c r="L19" s="103">
        <f>COUNTIF(E19:K19,"✓")</f>
        <v/>
      </c>
      <c r="M19" s="107">
        <f>IF(L19&gt;0,C19,0)</f>
        <v/>
      </c>
    </row>
    <row r="20" ht="16" customHeight="1">
      <c r="A20" s="1" t="n"/>
      <c r="B20" s="102" t="inlineStr">
        <is>
          <t>No junk food today</t>
        </is>
      </c>
      <c r="C20" s="103" t="n">
        <v>10</v>
      </c>
      <c r="D20" s="104" t="inlineStr"/>
      <c r="E20" s="105" t="inlineStr">
        <is>
          <t>✓</t>
        </is>
      </c>
      <c r="F20" s="105" t="inlineStr">
        <is>
          <t>✓</t>
        </is>
      </c>
      <c r="G20" s="105" t="inlineStr">
        <is>
          <t>✓</t>
        </is>
      </c>
      <c r="H20" s="105" t="inlineStr">
        <is>
          <t>✓</t>
        </is>
      </c>
      <c r="I20" s="105" t="inlineStr">
        <is>
          <t>✓</t>
        </is>
      </c>
      <c r="J20" s="106" t="inlineStr">
        <is>
          <t>—</t>
        </is>
      </c>
      <c r="K20" s="106" t="inlineStr">
        <is>
          <t>—</t>
        </is>
      </c>
      <c r="L20" s="103">
        <f>COUNTIF(E20:K20,"✓")</f>
        <v/>
      </c>
      <c r="M20" s="107">
        <f>IF(L20&gt;0,C20,0)</f>
        <v/>
      </c>
    </row>
    <row r="21" ht="16" customHeight="1">
      <c r="A21" s="1" t="n"/>
      <c r="B21" s="102" t="inlineStr">
        <is>
          <t>Hydration goal (2L+)</t>
        </is>
      </c>
      <c r="C21" s="103" t="n">
        <v>10</v>
      </c>
      <c r="D21" s="104" t="inlineStr"/>
      <c r="E21" s="105" t="inlineStr">
        <is>
          <t>✓</t>
        </is>
      </c>
      <c r="F21" s="105" t="inlineStr">
        <is>
          <t>✓</t>
        </is>
      </c>
      <c r="G21" s="105" t="inlineStr">
        <is>
          <t>✓</t>
        </is>
      </c>
      <c r="H21" s="105" t="inlineStr">
        <is>
          <t>✓</t>
        </is>
      </c>
      <c r="I21" s="105" t="inlineStr">
        <is>
          <t>✓</t>
        </is>
      </c>
      <c r="J21" s="106" t="inlineStr">
        <is>
          <t>—</t>
        </is>
      </c>
      <c r="K21" s="106" t="inlineStr">
        <is>
          <t>—</t>
        </is>
      </c>
      <c r="L21" s="103">
        <f>COUNTIF(E21:K21,"✓")</f>
        <v/>
      </c>
      <c r="M21" s="107">
        <f>IF(L21&gt;0,C21,0)</f>
        <v/>
      </c>
    </row>
    <row r="22" ht="8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</row>
    <row r="23" ht="20" customHeight="1">
      <c r="A23" s="1" t="n"/>
      <c r="B23" s="108" t="inlineStr">
        <is>
          <t xml:space="preserve">  🧠  MIND</t>
        </is>
      </c>
    </row>
    <row r="24" ht="16" customHeight="1">
      <c r="A24" s="1" t="n"/>
      <c r="B24" s="109" t="inlineStr">
        <is>
          <t>HABIT</t>
        </is>
      </c>
      <c r="C24" s="110" t="inlineStr">
        <is>
          <t>XP</t>
        </is>
      </c>
      <c r="D24" s="1" t="n"/>
      <c r="E24" s="110" t="inlineStr">
        <is>
          <t>M</t>
        </is>
      </c>
      <c r="F24" s="110" t="inlineStr">
        <is>
          <t>T</t>
        </is>
      </c>
      <c r="G24" s="110" t="inlineStr">
        <is>
          <t>W</t>
        </is>
      </c>
      <c r="H24" s="110" t="inlineStr">
        <is>
          <t>T</t>
        </is>
      </c>
      <c r="I24" s="110" t="inlineStr">
        <is>
          <t>F</t>
        </is>
      </c>
      <c r="J24" s="110" t="inlineStr">
        <is>
          <t>S</t>
        </is>
      </c>
      <c r="K24" s="110" t="inlineStr">
        <is>
          <t>S</t>
        </is>
      </c>
      <c r="L24" s="110" t="inlineStr">
        <is>
          <t>DONE</t>
        </is>
      </c>
      <c r="M24" s="110" t="inlineStr">
        <is>
          <t>XP ✓</t>
        </is>
      </c>
    </row>
    <row r="25" ht="16" customHeight="1">
      <c r="A25" s="1" t="n"/>
      <c r="B25" s="111" t="inlineStr">
        <is>
          <t>Morning pages / journaling</t>
        </is>
      </c>
      <c r="C25" s="112" t="n">
        <v>15</v>
      </c>
      <c r="D25" s="113" t="inlineStr"/>
      <c r="E25" s="114" t="inlineStr">
        <is>
          <t>—</t>
        </is>
      </c>
      <c r="F25" s="114" t="inlineStr">
        <is>
          <t>—</t>
        </is>
      </c>
      <c r="G25" s="114" t="inlineStr">
        <is>
          <t>—</t>
        </is>
      </c>
      <c r="H25" s="114" t="inlineStr">
        <is>
          <t>—</t>
        </is>
      </c>
      <c r="I25" s="114" t="inlineStr">
        <is>
          <t>—</t>
        </is>
      </c>
      <c r="J25" s="114" t="inlineStr">
        <is>
          <t>—</t>
        </is>
      </c>
      <c r="K25" s="114" t="inlineStr">
        <is>
          <t>—</t>
        </is>
      </c>
      <c r="L25" s="112">
        <f>COUNTIF(E25:K25,"✓")</f>
        <v/>
      </c>
      <c r="M25" s="115">
        <f>IF(L25&gt;0,C25,0)</f>
        <v/>
      </c>
    </row>
    <row r="26" ht="16" customHeight="1">
      <c r="A26" s="1" t="n"/>
      <c r="B26" s="111" t="inlineStr">
        <is>
          <t>Read 20 minutes</t>
        </is>
      </c>
      <c r="C26" s="112" t="n">
        <v>15</v>
      </c>
      <c r="D26" s="113" t="inlineStr"/>
      <c r="E26" s="116" t="inlineStr">
        <is>
          <t>✓</t>
        </is>
      </c>
      <c r="F26" s="116" t="inlineStr">
        <is>
          <t>✓</t>
        </is>
      </c>
      <c r="G26" s="116" t="inlineStr">
        <is>
          <t>✓</t>
        </is>
      </c>
      <c r="H26" s="116" t="inlineStr">
        <is>
          <t>✓</t>
        </is>
      </c>
      <c r="I26" s="116" t="inlineStr">
        <is>
          <t>✓</t>
        </is>
      </c>
      <c r="J26" s="114" t="inlineStr">
        <is>
          <t>—</t>
        </is>
      </c>
      <c r="K26" s="114" t="inlineStr">
        <is>
          <t>—</t>
        </is>
      </c>
      <c r="L26" s="112">
        <f>COUNTIF(E26:K26,"✓")</f>
        <v/>
      </c>
      <c r="M26" s="115">
        <f>IF(L26&gt;0,C26,0)</f>
        <v/>
      </c>
    </row>
    <row r="27" ht="16" customHeight="1">
      <c r="A27" s="1" t="n"/>
      <c r="B27" s="111" t="inlineStr">
        <is>
          <t>Meditation (10 min+)</t>
        </is>
      </c>
      <c r="C27" s="112" t="n">
        <v>10</v>
      </c>
      <c r="D27" s="113" t="inlineStr"/>
      <c r="E27" s="116" t="inlineStr">
        <is>
          <t>✓</t>
        </is>
      </c>
      <c r="F27" s="116" t="inlineStr">
        <is>
          <t>✓</t>
        </is>
      </c>
      <c r="G27" s="116" t="inlineStr">
        <is>
          <t>✓</t>
        </is>
      </c>
      <c r="H27" s="116" t="inlineStr">
        <is>
          <t>✓</t>
        </is>
      </c>
      <c r="I27" s="116" t="inlineStr">
        <is>
          <t>✓</t>
        </is>
      </c>
      <c r="J27" s="114" t="inlineStr">
        <is>
          <t>—</t>
        </is>
      </c>
      <c r="K27" s="114" t="inlineStr">
        <is>
          <t>—</t>
        </is>
      </c>
      <c r="L27" s="112">
        <f>COUNTIF(E27:K27,"✓")</f>
        <v/>
      </c>
      <c r="M27" s="115">
        <f>IF(L27&gt;0,C27,0)</f>
        <v/>
      </c>
    </row>
    <row r="28" ht="16" customHeight="1">
      <c r="A28" s="1" t="n"/>
      <c r="B28" s="111" t="inlineStr">
        <is>
          <t>Gratitude — 3 things</t>
        </is>
      </c>
      <c r="C28" s="112" t="n">
        <v>5</v>
      </c>
      <c r="D28" s="113" t="inlineStr"/>
      <c r="E28" s="114" t="inlineStr">
        <is>
          <t>—</t>
        </is>
      </c>
      <c r="F28" s="114" t="inlineStr">
        <is>
          <t>—</t>
        </is>
      </c>
      <c r="G28" s="114" t="inlineStr">
        <is>
          <t>—</t>
        </is>
      </c>
      <c r="H28" s="114" t="inlineStr">
        <is>
          <t>—</t>
        </is>
      </c>
      <c r="I28" s="114" t="inlineStr">
        <is>
          <t>—</t>
        </is>
      </c>
      <c r="J28" s="114" t="inlineStr">
        <is>
          <t>—</t>
        </is>
      </c>
      <c r="K28" s="114" t="inlineStr">
        <is>
          <t>—</t>
        </is>
      </c>
      <c r="L28" s="112">
        <f>COUNTIF(E28:K28,"✓")</f>
        <v/>
      </c>
      <c r="M28" s="115">
        <f>IF(L28&gt;0,C28,0)</f>
        <v/>
      </c>
    </row>
    <row r="29" ht="8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 ht="20" customHeight="1">
      <c r="A30" s="1" t="n"/>
      <c r="B30" s="49" t="inlineStr">
        <is>
          <t xml:space="preserve">  💼  BUSINESS</t>
        </is>
      </c>
    </row>
    <row r="31" ht="16" customHeight="1">
      <c r="A31" s="1" t="n"/>
      <c r="B31" s="117" t="inlineStr">
        <is>
          <t>HABIT</t>
        </is>
      </c>
      <c r="C31" s="118" t="inlineStr">
        <is>
          <t>XP</t>
        </is>
      </c>
      <c r="D31" s="1" t="n"/>
      <c r="E31" s="118" t="inlineStr">
        <is>
          <t>M</t>
        </is>
      </c>
      <c r="F31" s="118" t="inlineStr">
        <is>
          <t>T</t>
        </is>
      </c>
      <c r="G31" s="118" t="inlineStr">
        <is>
          <t>W</t>
        </is>
      </c>
      <c r="H31" s="118" t="inlineStr">
        <is>
          <t>T</t>
        </is>
      </c>
      <c r="I31" s="118" t="inlineStr">
        <is>
          <t>F</t>
        </is>
      </c>
      <c r="J31" s="118" t="inlineStr">
        <is>
          <t>S</t>
        </is>
      </c>
      <c r="K31" s="118" t="inlineStr">
        <is>
          <t>S</t>
        </is>
      </c>
      <c r="L31" s="118" t="inlineStr">
        <is>
          <t>DONE</t>
        </is>
      </c>
      <c r="M31" s="118" t="inlineStr">
        <is>
          <t>XP ✓</t>
        </is>
      </c>
    </row>
    <row r="32" ht="16" customHeight="1">
      <c r="A32" s="1" t="n"/>
      <c r="B32" s="119" t="inlineStr">
        <is>
          <t>Outreach to 1+ potential client</t>
        </is>
      </c>
      <c r="C32" s="120" t="n">
        <v>25</v>
      </c>
      <c r="D32" s="121" t="inlineStr"/>
      <c r="E32" s="122" t="inlineStr">
        <is>
          <t>✓</t>
        </is>
      </c>
      <c r="F32" s="122" t="inlineStr">
        <is>
          <t>✓</t>
        </is>
      </c>
      <c r="G32" s="122" t="inlineStr">
        <is>
          <t>✓</t>
        </is>
      </c>
      <c r="H32" s="122" t="inlineStr">
        <is>
          <t>✓</t>
        </is>
      </c>
      <c r="I32" s="122" t="inlineStr">
        <is>
          <t>✓</t>
        </is>
      </c>
      <c r="J32" s="123" t="inlineStr">
        <is>
          <t>—</t>
        </is>
      </c>
      <c r="K32" s="123" t="inlineStr">
        <is>
          <t>—</t>
        </is>
      </c>
      <c r="L32" s="120">
        <f>COUNTIF(E32:K32,"✓")</f>
        <v/>
      </c>
      <c r="M32" s="124">
        <f>IF(L32&gt;0,C32,0)</f>
        <v/>
      </c>
    </row>
    <row r="33" ht="16" customHeight="1">
      <c r="A33" s="1" t="n"/>
      <c r="B33" s="119" t="inlineStr">
        <is>
          <t>Post content / BTS reel</t>
        </is>
      </c>
      <c r="C33" s="120" t="n">
        <v>20</v>
      </c>
      <c r="D33" s="121" t="inlineStr"/>
      <c r="E33" s="122" t="inlineStr">
        <is>
          <t>✓</t>
        </is>
      </c>
      <c r="F33" s="122" t="inlineStr">
        <is>
          <t>✓</t>
        </is>
      </c>
      <c r="G33" s="122" t="inlineStr">
        <is>
          <t>✓</t>
        </is>
      </c>
      <c r="H33" s="122" t="inlineStr">
        <is>
          <t>✓</t>
        </is>
      </c>
      <c r="I33" s="122" t="inlineStr">
        <is>
          <t>✓</t>
        </is>
      </c>
      <c r="J33" s="123" t="inlineStr">
        <is>
          <t>—</t>
        </is>
      </c>
      <c r="K33" s="123" t="inlineStr">
        <is>
          <t>—</t>
        </is>
      </c>
      <c r="L33" s="120">
        <f>COUNTIF(E33:K33,"✓")</f>
        <v/>
      </c>
      <c r="M33" s="124">
        <f>IF(L33&gt;0,C33,0)</f>
        <v/>
      </c>
    </row>
    <row r="34" ht="16" customHeight="1">
      <c r="A34" s="1" t="n"/>
      <c r="B34" s="119" t="inlineStr">
        <is>
          <t>Follow up on active proposals</t>
        </is>
      </c>
      <c r="C34" s="120" t="n">
        <v>20</v>
      </c>
      <c r="D34" s="121" t="inlineStr"/>
      <c r="E34" s="123" t="inlineStr">
        <is>
          <t>—</t>
        </is>
      </c>
      <c r="F34" s="123" t="inlineStr">
        <is>
          <t>—</t>
        </is>
      </c>
      <c r="G34" s="123" t="inlineStr">
        <is>
          <t>—</t>
        </is>
      </c>
      <c r="H34" s="123" t="inlineStr">
        <is>
          <t>—</t>
        </is>
      </c>
      <c r="I34" s="123" t="inlineStr">
        <is>
          <t>—</t>
        </is>
      </c>
      <c r="J34" s="123" t="inlineStr">
        <is>
          <t>—</t>
        </is>
      </c>
      <c r="K34" s="123" t="inlineStr">
        <is>
          <t>—</t>
        </is>
      </c>
      <c r="L34" s="120">
        <f>COUNTIF(E34:K34,"✓")</f>
        <v/>
      </c>
      <c r="M34" s="124">
        <f>IF(L34&gt;0,C34,0)</f>
        <v/>
      </c>
    </row>
    <row r="35" ht="16" customHeight="1">
      <c r="A35" s="1" t="n"/>
      <c r="B35" s="119" t="inlineStr">
        <is>
          <t>Review financials / pipeline</t>
        </is>
      </c>
      <c r="C35" s="120" t="n">
        <v>10</v>
      </c>
      <c r="D35" s="121" t="inlineStr"/>
      <c r="E35" s="122" t="inlineStr">
        <is>
          <t>✓</t>
        </is>
      </c>
      <c r="F35" s="122" t="inlineStr">
        <is>
          <t>✓</t>
        </is>
      </c>
      <c r="G35" s="122" t="inlineStr">
        <is>
          <t>✓</t>
        </is>
      </c>
      <c r="H35" s="122" t="inlineStr">
        <is>
          <t>✓</t>
        </is>
      </c>
      <c r="I35" s="122" t="inlineStr">
        <is>
          <t>✓</t>
        </is>
      </c>
      <c r="J35" s="123" t="inlineStr">
        <is>
          <t>—</t>
        </is>
      </c>
      <c r="K35" s="123" t="inlineStr">
        <is>
          <t>—</t>
        </is>
      </c>
      <c r="L35" s="120">
        <f>COUNTIF(E35:K35,"✓")</f>
        <v/>
      </c>
      <c r="M35" s="124">
        <f>IF(L35&gt;0,C35,0)</f>
        <v/>
      </c>
    </row>
    <row r="36" ht="8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</row>
    <row r="37" ht="10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 ht="20" customHeight="1">
      <c r="A38" s="1" t="n"/>
      <c r="B38" s="3" t="inlineStr">
        <is>
          <t xml:space="preserve">  30-DAY HABIT LOG</t>
        </is>
      </c>
    </row>
    <row r="39" ht="18" customHeight="1">
      <c r="A39" s="1" t="n"/>
      <c r="B39" s="35" t="inlineStr">
        <is>
          <t>DATE</t>
        </is>
      </c>
      <c r="C39" s="35" t="inlineStr">
        <is>
          <t>CRAFT</t>
        </is>
      </c>
      <c r="D39" s="35" t="inlineStr">
        <is>
          <t>BODY</t>
        </is>
      </c>
      <c r="E39" s="35" t="inlineStr">
        <is>
          <t>MIND</t>
        </is>
      </c>
      <c r="F39" s="35" t="inlineStr">
        <is>
          <t>BIZ</t>
        </is>
      </c>
      <c r="G39" s="35" t="inlineStr">
        <is>
          <t>TOTAL DONE</t>
        </is>
      </c>
      <c r="H39" s="35" t="inlineStr">
        <is>
          <t>XP TODAY</t>
        </is>
      </c>
      <c r="I39" s="35" t="inlineStr">
        <is>
          <t>DAILY BAR</t>
        </is>
      </c>
      <c r="J39" s="35" t="inlineStr">
        <is>
          <t>STREAK DAY?</t>
        </is>
      </c>
      <c r="K39" s="1" t="n"/>
      <c r="L39" s="1" t="n"/>
      <c r="M39" s="1" t="n"/>
    </row>
    <row r="40" ht="15" customHeight="1">
      <c r="A40" s="1" t="n"/>
      <c r="B40" s="125" t="n">
        <v>46159</v>
      </c>
      <c r="C40" s="1" t="n"/>
      <c r="D40" s="126" t="n">
        <v>0</v>
      </c>
      <c r="E40" s="18" t="n">
        <v>0</v>
      </c>
      <c r="F40" s="127" t="n">
        <v>0</v>
      </c>
      <c r="G40" s="128" t="n">
        <v>0</v>
      </c>
      <c r="H40" s="39" t="n">
        <v>0</v>
      </c>
      <c r="I40" s="14" t="inlineStr">
        <is>
          <t>░░░░░░░░░░░░</t>
        </is>
      </c>
      <c r="J40" s="129" t="b">
        <v>0</v>
      </c>
      <c r="K40" s="5" t="n"/>
      <c r="L40" s="5" t="n"/>
      <c r="M40" s="5" t="n"/>
    </row>
    <row r="41" ht="15" customHeight="1">
      <c r="A41" s="1" t="n"/>
      <c r="B41" s="130" t="n">
        <v>46160</v>
      </c>
      <c r="C41" s="1" t="n"/>
      <c r="D41" s="131" t="n">
        <v>0</v>
      </c>
      <c r="E41" s="46" t="n">
        <v>0</v>
      </c>
      <c r="F41" s="132" t="n">
        <v>0</v>
      </c>
      <c r="G41" s="133" t="n">
        <v>0</v>
      </c>
      <c r="H41" s="44" t="n">
        <v>0</v>
      </c>
      <c r="I41" s="20" t="inlineStr">
        <is>
          <t>░░░░░░░░░░░░</t>
        </is>
      </c>
      <c r="J41" s="134" t="b">
        <v>0</v>
      </c>
      <c r="K41" s="29" t="n"/>
      <c r="L41" s="29" t="n"/>
      <c r="M41" s="29" t="n"/>
    </row>
    <row r="42" ht="15" customHeight="1">
      <c r="A42" s="1" t="n"/>
      <c r="B42" s="125" t="n">
        <v>46161</v>
      </c>
      <c r="C42" s="1" t="n"/>
      <c r="D42" s="126" t="n">
        <v>0</v>
      </c>
      <c r="E42" s="18" t="n">
        <v>0</v>
      </c>
      <c r="F42" s="127" t="n">
        <v>0</v>
      </c>
      <c r="G42" s="128" t="n">
        <v>0</v>
      </c>
      <c r="H42" s="39" t="n">
        <v>0</v>
      </c>
      <c r="I42" s="14" t="inlineStr">
        <is>
          <t>░░░░░░░░░░░░</t>
        </is>
      </c>
      <c r="J42" s="129" t="b">
        <v>0</v>
      </c>
      <c r="K42" s="5" t="n"/>
      <c r="L42" s="5" t="n"/>
      <c r="M42" s="5" t="n"/>
    </row>
    <row r="43" ht="15" customHeight="1">
      <c r="A43" s="1" t="n"/>
      <c r="B43" s="130" t="n">
        <v>46162</v>
      </c>
      <c r="C43" s="1" t="n"/>
      <c r="D43" s="131" t="n">
        <v>0</v>
      </c>
      <c r="E43" s="46" t="n">
        <v>0</v>
      </c>
      <c r="F43" s="132" t="n">
        <v>0</v>
      </c>
      <c r="G43" s="133" t="n">
        <v>0</v>
      </c>
      <c r="H43" s="44" t="n">
        <v>0</v>
      </c>
      <c r="I43" s="20" t="inlineStr">
        <is>
          <t>░░░░░░░░░░░░</t>
        </is>
      </c>
      <c r="J43" s="134" t="b">
        <v>0</v>
      </c>
      <c r="K43" s="29" t="n"/>
      <c r="L43" s="29" t="n"/>
      <c r="M43" s="29" t="n"/>
    </row>
    <row r="44" ht="15" customHeight="1">
      <c r="A44" s="1" t="n"/>
      <c r="B44" s="125" t="n">
        <v>46163</v>
      </c>
      <c r="C44" s="1" t="n"/>
      <c r="D44" s="126" t="n">
        <v>0</v>
      </c>
      <c r="E44" s="18" t="n">
        <v>0</v>
      </c>
      <c r="F44" s="127" t="n">
        <v>0</v>
      </c>
      <c r="G44" s="128" t="n">
        <v>0</v>
      </c>
      <c r="H44" s="39" t="n">
        <v>0</v>
      </c>
      <c r="I44" s="14" t="inlineStr">
        <is>
          <t>░░░░░░░░░░░░</t>
        </is>
      </c>
      <c r="J44" s="129" t="b">
        <v>0</v>
      </c>
      <c r="K44" s="5" t="n"/>
      <c r="L44" s="5" t="n"/>
      <c r="M44" s="5" t="n"/>
    </row>
    <row r="45" ht="15" customHeight="1">
      <c r="A45" s="1" t="n"/>
      <c r="B45" s="130" t="n">
        <v>46164</v>
      </c>
      <c r="C45" s="1" t="n"/>
      <c r="D45" s="131" t="n">
        <v>0</v>
      </c>
      <c r="E45" s="46" t="n">
        <v>0</v>
      </c>
      <c r="F45" s="132" t="n">
        <v>0</v>
      </c>
      <c r="G45" s="133" t="n">
        <v>0</v>
      </c>
      <c r="H45" s="44" t="n">
        <v>0</v>
      </c>
      <c r="I45" s="20" t="inlineStr">
        <is>
          <t>░░░░░░░░░░░░</t>
        </is>
      </c>
      <c r="J45" s="134" t="b">
        <v>0</v>
      </c>
      <c r="K45" s="29" t="n"/>
      <c r="L45" s="29" t="n"/>
      <c r="M45" s="29" t="n"/>
    </row>
    <row r="46" ht="15" customHeight="1">
      <c r="A46" s="1" t="n"/>
      <c r="B46" s="125" t="n">
        <v>46165</v>
      </c>
      <c r="C46" s="1" t="n"/>
      <c r="D46" s="126" t="n">
        <v>0</v>
      </c>
      <c r="E46" s="18" t="n">
        <v>0</v>
      </c>
      <c r="F46" s="127" t="n">
        <v>0</v>
      </c>
      <c r="G46" s="128" t="n">
        <v>0</v>
      </c>
      <c r="H46" s="39" t="n">
        <v>0</v>
      </c>
      <c r="I46" s="14" t="inlineStr">
        <is>
          <t>░░░░░░░░░░░░</t>
        </is>
      </c>
      <c r="J46" s="129" t="b">
        <v>0</v>
      </c>
      <c r="K46" s="5" t="n"/>
      <c r="L46" s="5" t="n"/>
      <c r="M46" s="5" t="n"/>
    </row>
    <row r="47" ht="15" customHeight="1">
      <c r="A47" s="1" t="n"/>
      <c r="B47" s="130" t="n">
        <v>46166</v>
      </c>
      <c r="C47" s="1" t="n"/>
      <c r="D47" s="131" t="n">
        <v>0</v>
      </c>
      <c r="E47" s="46" t="n">
        <v>0</v>
      </c>
      <c r="F47" s="132" t="n">
        <v>0</v>
      </c>
      <c r="G47" s="133" t="n">
        <v>0</v>
      </c>
      <c r="H47" s="44" t="n">
        <v>0</v>
      </c>
      <c r="I47" s="20" t="inlineStr">
        <is>
          <t>░░░░░░░░░░░░</t>
        </is>
      </c>
      <c r="J47" s="134" t="b">
        <v>0</v>
      </c>
      <c r="K47" s="29" t="n"/>
      <c r="L47" s="29" t="n"/>
      <c r="M47" s="29" t="n"/>
    </row>
    <row r="48" ht="15" customHeight="1">
      <c r="A48" s="1" t="n"/>
      <c r="B48" s="125" t="n">
        <v>46167</v>
      </c>
      <c r="C48" s="1" t="n"/>
      <c r="D48" s="126" t="n">
        <v>0</v>
      </c>
      <c r="E48" s="18" t="n">
        <v>0</v>
      </c>
      <c r="F48" s="127" t="n">
        <v>0</v>
      </c>
      <c r="G48" s="128" t="n">
        <v>0</v>
      </c>
      <c r="H48" s="39" t="n">
        <v>0</v>
      </c>
      <c r="I48" s="14" t="inlineStr">
        <is>
          <t>░░░░░░░░░░░░</t>
        </is>
      </c>
      <c r="J48" s="129" t="b">
        <v>0</v>
      </c>
      <c r="K48" s="5" t="n"/>
      <c r="L48" s="5" t="n"/>
      <c r="M48" s="5" t="n"/>
    </row>
    <row r="49" ht="15" customHeight="1">
      <c r="A49" s="1" t="n"/>
      <c r="B49" s="130" t="n">
        <v>46168</v>
      </c>
      <c r="C49" s="1" t="n"/>
      <c r="D49" s="131" t="n">
        <v>0</v>
      </c>
      <c r="E49" s="46" t="n">
        <v>0</v>
      </c>
      <c r="F49" s="132" t="n">
        <v>0</v>
      </c>
      <c r="G49" s="133" t="n">
        <v>0</v>
      </c>
      <c r="H49" s="44" t="n">
        <v>0</v>
      </c>
      <c r="I49" s="20" t="inlineStr">
        <is>
          <t>░░░░░░░░░░░░</t>
        </is>
      </c>
      <c r="J49" s="134" t="b">
        <v>0</v>
      </c>
      <c r="K49" s="29" t="n"/>
      <c r="L49" s="29" t="n"/>
      <c r="M49" s="29" t="n"/>
    </row>
    <row r="50" ht="15" customHeight="1">
      <c r="A50" s="1" t="n"/>
      <c r="B50" s="125" t="n">
        <v>46169</v>
      </c>
      <c r="C50" s="1" t="n"/>
      <c r="D50" s="126" t="n">
        <v>0</v>
      </c>
      <c r="E50" s="18" t="n">
        <v>0</v>
      </c>
      <c r="F50" s="127" t="n">
        <v>0</v>
      </c>
      <c r="G50" s="128" t="n">
        <v>0</v>
      </c>
      <c r="H50" s="39" t="n">
        <v>0</v>
      </c>
      <c r="I50" s="14" t="inlineStr">
        <is>
          <t>░░░░░░░░░░░░</t>
        </is>
      </c>
      <c r="J50" s="129" t="b">
        <v>0</v>
      </c>
      <c r="K50" s="5" t="n"/>
      <c r="L50" s="5" t="n"/>
      <c r="M50" s="5" t="n"/>
    </row>
    <row r="51" ht="15" customHeight="1">
      <c r="A51" s="1" t="n"/>
      <c r="B51" s="130" t="n">
        <v>46170</v>
      </c>
      <c r="C51" s="1" t="n"/>
      <c r="D51" s="131" t="n">
        <v>0</v>
      </c>
      <c r="E51" s="46" t="n">
        <v>0</v>
      </c>
      <c r="F51" s="132" t="n">
        <v>0</v>
      </c>
      <c r="G51" s="133" t="n">
        <v>0</v>
      </c>
      <c r="H51" s="44" t="n">
        <v>0</v>
      </c>
      <c r="I51" s="20" t="inlineStr">
        <is>
          <t>░░░░░░░░░░░░</t>
        </is>
      </c>
      <c r="J51" s="134" t="b">
        <v>0</v>
      </c>
      <c r="K51" s="29" t="n"/>
      <c r="L51" s="29" t="n"/>
      <c r="M51" s="29" t="n"/>
    </row>
    <row r="52" ht="15" customHeight="1">
      <c r="A52" s="1" t="n"/>
      <c r="B52" s="125" t="n">
        <v>46171</v>
      </c>
      <c r="C52" s="1" t="n"/>
      <c r="D52" s="126" t="n">
        <v>0</v>
      </c>
      <c r="E52" s="18" t="n">
        <v>0</v>
      </c>
      <c r="F52" s="127" t="n">
        <v>0</v>
      </c>
      <c r="G52" s="128" t="n">
        <v>0</v>
      </c>
      <c r="H52" s="39" t="n">
        <v>0</v>
      </c>
      <c r="I52" s="14" t="inlineStr">
        <is>
          <t>░░░░░░░░░░░░</t>
        </is>
      </c>
      <c r="J52" s="129" t="b">
        <v>0</v>
      </c>
      <c r="K52" s="5" t="n"/>
      <c r="L52" s="5" t="n"/>
      <c r="M52" s="5" t="n"/>
    </row>
    <row r="53" ht="15" customHeight="1">
      <c r="A53" s="1" t="n"/>
      <c r="B53" s="130" t="n">
        <v>46172</v>
      </c>
      <c r="C53" s="1" t="n"/>
      <c r="D53" s="131" t="n">
        <v>0</v>
      </c>
      <c r="E53" s="46" t="n">
        <v>0</v>
      </c>
      <c r="F53" s="132" t="n">
        <v>0</v>
      </c>
      <c r="G53" s="133" t="n">
        <v>0</v>
      </c>
      <c r="H53" s="44" t="n">
        <v>0</v>
      </c>
      <c r="I53" s="20" t="inlineStr">
        <is>
          <t>░░░░░░░░░░░░</t>
        </is>
      </c>
      <c r="J53" s="134" t="b">
        <v>0</v>
      </c>
      <c r="K53" s="29" t="n"/>
      <c r="L53" s="29" t="n"/>
      <c r="M53" s="29" t="n"/>
    </row>
    <row r="54" ht="15" customHeight="1">
      <c r="A54" s="1" t="n"/>
      <c r="B54" s="125" t="n">
        <v>46173</v>
      </c>
      <c r="C54" s="1" t="n"/>
      <c r="D54" s="126" t="n">
        <v>0</v>
      </c>
      <c r="E54" s="18" t="n">
        <v>0</v>
      </c>
      <c r="F54" s="127" t="n">
        <v>0</v>
      </c>
      <c r="G54" s="128" t="n">
        <v>0</v>
      </c>
      <c r="H54" s="39" t="n">
        <v>0</v>
      </c>
      <c r="I54" s="14" t="inlineStr">
        <is>
          <t>░░░░░░░░░░░░</t>
        </is>
      </c>
      <c r="J54" s="129" t="b">
        <v>0</v>
      </c>
      <c r="K54" s="5" t="n"/>
      <c r="L54" s="5" t="n"/>
      <c r="M54" s="5" t="n"/>
    </row>
    <row r="55" ht="15" customHeight="1">
      <c r="A55" s="1" t="n"/>
      <c r="B55" s="130" t="n">
        <v>46174</v>
      </c>
      <c r="C55" s="1" t="n"/>
      <c r="D55" s="131" t="n">
        <v>0</v>
      </c>
      <c r="E55" s="46" t="n">
        <v>0</v>
      </c>
      <c r="F55" s="132" t="n">
        <v>0</v>
      </c>
      <c r="G55" s="133" t="n">
        <v>0</v>
      </c>
      <c r="H55" s="44" t="n">
        <v>0</v>
      </c>
      <c r="I55" s="20" t="inlineStr">
        <is>
          <t>░░░░░░░░░░░░</t>
        </is>
      </c>
      <c r="J55" s="134" t="b">
        <v>0</v>
      </c>
      <c r="K55" s="29" t="n"/>
      <c r="L55" s="29" t="n"/>
      <c r="M55" s="29" t="n"/>
    </row>
    <row r="56" ht="15" customHeight="1">
      <c r="A56" s="1" t="n"/>
      <c r="B56" s="125" t="n">
        <v>46175</v>
      </c>
      <c r="C56" s="1" t="n"/>
      <c r="D56" s="126" t="n">
        <v>0</v>
      </c>
      <c r="E56" s="18" t="n">
        <v>0</v>
      </c>
      <c r="F56" s="127" t="n">
        <v>0</v>
      </c>
      <c r="G56" s="128" t="n">
        <v>0</v>
      </c>
      <c r="H56" s="39" t="n">
        <v>0</v>
      </c>
      <c r="I56" s="14" t="inlineStr">
        <is>
          <t>░░░░░░░░░░░░</t>
        </is>
      </c>
      <c r="J56" s="129" t="b">
        <v>0</v>
      </c>
      <c r="K56" s="5" t="n"/>
      <c r="L56" s="5" t="n"/>
      <c r="M56" s="5" t="n"/>
    </row>
    <row r="57" ht="15" customHeight="1">
      <c r="A57" s="1" t="n"/>
      <c r="B57" s="130" t="n">
        <v>46176</v>
      </c>
      <c r="C57" s="1" t="n"/>
      <c r="D57" s="131" t="n">
        <v>0</v>
      </c>
      <c r="E57" s="46" t="n">
        <v>0</v>
      </c>
      <c r="F57" s="132" t="n">
        <v>0</v>
      </c>
      <c r="G57" s="133" t="n">
        <v>0</v>
      </c>
      <c r="H57" s="44" t="n">
        <v>0</v>
      </c>
      <c r="I57" s="20" t="inlineStr">
        <is>
          <t>░░░░░░░░░░░░</t>
        </is>
      </c>
      <c r="J57" s="134" t="b">
        <v>0</v>
      </c>
      <c r="K57" s="29" t="n"/>
      <c r="L57" s="29" t="n"/>
      <c r="M57" s="29" t="n"/>
    </row>
    <row r="58" ht="15" customHeight="1">
      <c r="A58" s="1" t="n"/>
      <c r="B58" s="125" t="n">
        <v>46177</v>
      </c>
      <c r="C58" s="1" t="n"/>
      <c r="D58" s="126" t="n">
        <v>0</v>
      </c>
      <c r="E58" s="18" t="n">
        <v>0</v>
      </c>
      <c r="F58" s="127" t="n">
        <v>0</v>
      </c>
      <c r="G58" s="128" t="n">
        <v>0</v>
      </c>
      <c r="H58" s="39" t="n">
        <v>0</v>
      </c>
      <c r="I58" s="14" t="inlineStr">
        <is>
          <t>░░░░░░░░░░░░</t>
        </is>
      </c>
      <c r="J58" s="129" t="b">
        <v>0</v>
      </c>
      <c r="K58" s="5" t="n"/>
      <c r="L58" s="5" t="n"/>
      <c r="M58" s="5" t="n"/>
    </row>
    <row r="59" ht="15" customHeight="1">
      <c r="A59" s="1" t="n"/>
      <c r="B59" s="130" t="n">
        <v>46178</v>
      </c>
      <c r="C59" s="1" t="n"/>
      <c r="D59" s="131" t="n">
        <v>0</v>
      </c>
      <c r="E59" s="46" t="n">
        <v>0</v>
      </c>
      <c r="F59" s="132" t="n">
        <v>0</v>
      </c>
      <c r="G59" s="133" t="n">
        <v>0</v>
      </c>
      <c r="H59" s="44" t="n">
        <v>0</v>
      </c>
      <c r="I59" s="20" t="inlineStr">
        <is>
          <t>░░░░░░░░░░░░</t>
        </is>
      </c>
      <c r="J59" s="134" t="b">
        <v>0</v>
      </c>
      <c r="K59" s="29" t="n"/>
      <c r="L59" s="29" t="n"/>
      <c r="M59" s="29" t="n"/>
    </row>
    <row r="60" ht="15" customHeight="1">
      <c r="A60" s="1" t="n"/>
      <c r="B60" s="125" t="n">
        <v>46179</v>
      </c>
      <c r="C60" s="1" t="n"/>
      <c r="D60" s="126" t="n">
        <v>0</v>
      </c>
      <c r="E60" s="18" t="n">
        <v>0</v>
      </c>
      <c r="F60" s="127" t="n">
        <v>0</v>
      </c>
      <c r="G60" s="128" t="n">
        <v>0</v>
      </c>
      <c r="H60" s="39" t="n">
        <v>0</v>
      </c>
      <c r="I60" s="14" t="inlineStr">
        <is>
          <t>░░░░░░░░░░░░</t>
        </is>
      </c>
      <c r="J60" s="129" t="b">
        <v>0</v>
      </c>
      <c r="K60" s="5" t="n"/>
      <c r="L60" s="5" t="n"/>
      <c r="M60" s="5" t="n"/>
    </row>
    <row r="61" ht="15" customHeight="1">
      <c r="A61" s="1" t="n"/>
      <c r="B61" s="130" t="n">
        <v>46180</v>
      </c>
      <c r="C61" s="1" t="n"/>
      <c r="D61" s="131" t="n">
        <v>0</v>
      </c>
      <c r="E61" s="46" t="n">
        <v>0</v>
      </c>
      <c r="F61" s="132" t="n">
        <v>0</v>
      </c>
      <c r="G61" s="133" t="n">
        <v>0</v>
      </c>
      <c r="H61" s="44" t="n">
        <v>0</v>
      </c>
      <c r="I61" s="20" t="inlineStr">
        <is>
          <t>░░░░░░░░░░░░</t>
        </is>
      </c>
      <c r="J61" s="134" t="b">
        <v>0</v>
      </c>
      <c r="K61" s="29" t="n"/>
      <c r="L61" s="29" t="n"/>
      <c r="M61" s="29" t="n"/>
    </row>
    <row r="62" ht="15" customHeight="1">
      <c r="A62" s="1" t="n"/>
      <c r="B62" s="125" t="n">
        <v>46181</v>
      </c>
      <c r="C62" s="1" t="n"/>
      <c r="D62" s="126" t="n">
        <v>0</v>
      </c>
      <c r="E62" s="18" t="n">
        <v>0</v>
      </c>
      <c r="F62" s="127" t="n">
        <v>0</v>
      </c>
      <c r="G62" s="128" t="n">
        <v>0</v>
      </c>
      <c r="H62" s="39" t="n">
        <v>0</v>
      </c>
      <c r="I62" s="14" t="inlineStr">
        <is>
          <t>░░░░░░░░░░░░</t>
        </is>
      </c>
      <c r="J62" s="129" t="b">
        <v>0</v>
      </c>
      <c r="K62" s="5" t="n"/>
      <c r="L62" s="5" t="n"/>
      <c r="M62" s="5" t="n"/>
    </row>
    <row r="63" ht="15" customHeight="1">
      <c r="A63" s="1" t="n"/>
      <c r="B63" s="130" t="n">
        <v>46182</v>
      </c>
      <c r="C63" s="1" t="n"/>
      <c r="D63" s="96" t="n">
        <v>4</v>
      </c>
      <c r="E63" s="135" t="n">
        <v>4</v>
      </c>
      <c r="F63" s="136" t="n">
        <v>4</v>
      </c>
      <c r="G63" s="96" t="n">
        <v>16</v>
      </c>
      <c r="H63" s="137" t="n">
        <v>250</v>
      </c>
      <c r="I63" s="138" t="inlineStr">
        <is>
          <t>████████████</t>
        </is>
      </c>
      <c r="J63" s="139" t="b">
        <v>1</v>
      </c>
      <c r="K63" s="94" t="inlineStr">
        <is>
          <t>✦ PERFECT DAY</t>
        </is>
      </c>
    </row>
    <row r="64" ht="15" customHeight="1">
      <c r="A64" s="1" t="n"/>
      <c r="B64" s="125" t="n">
        <v>46183</v>
      </c>
      <c r="C64" s="1" t="n"/>
      <c r="D64" s="96" t="n">
        <v>3</v>
      </c>
      <c r="E64" s="135" t="n">
        <v>4</v>
      </c>
      <c r="F64" s="136" t="n">
        <v>3</v>
      </c>
      <c r="G64" s="96" t="n">
        <v>14</v>
      </c>
      <c r="H64" s="137" t="n">
        <v>220</v>
      </c>
      <c r="I64" s="140" t="inlineStr">
        <is>
          <t>██████████░░</t>
        </is>
      </c>
      <c r="J64" s="139" t="b">
        <v>1</v>
      </c>
      <c r="K64" s="94" t="inlineStr">
        <is>
          <t>✦ PERFECT DAY</t>
        </is>
      </c>
    </row>
    <row r="65" ht="15" customHeight="1">
      <c r="A65" s="1" t="n"/>
      <c r="B65" s="130" t="n">
        <v>46184</v>
      </c>
      <c r="C65" s="1" t="n"/>
      <c r="D65" s="96" t="n">
        <v>4</v>
      </c>
      <c r="E65" s="135" t="n">
        <v>3</v>
      </c>
      <c r="F65" s="136" t="n">
        <v>4</v>
      </c>
      <c r="G65" s="96" t="n">
        <v>14</v>
      </c>
      <c r="H65" s="137" t="n">
        <v>217</v>
      </c>
      <c r="I65" s="140" t="inlineStr">
        <is>
          <t>██████████░░</t>
        </is>
      </c>
      <c r="J65" s="139" t="b">
        <v>1</v>
      </c>
      <c r="K65" s="94" t="inlineStr">
        <is>
          <t>✦ PERFECT DAY</t>
        </is>
      </c>
    </row>
    <row r="66" ht="15" customHeight="1">
      <c r="A66" s="1" t="n"/>
      <c r="B66" s="125" t="n">
        <v>46185</v>
      </c>
      <c r="C66" s="1" t="n"/>
      <c r="D66" s="96" t="n">
        <v>2</v>
      </c>
      <c r="E66" s="135" t="n">
        <v>4</v>
      </c>
      <c r="F66" s="136" t="n">
        <v>3</v>
      </c>
      <c r="G66" s="96" t="n">
        <v>12</v>
      </c>
      <c r="H66" s="137" t="n">
        <v>182</v>
      </c>
      <c r="I66" s="140" t="inlineStr">
        <is>
          <t>█████████░░░</t>
        </is>
      </c>
      <c r="J66" s="139" t="b">
        <v>1</v>
      </c>
      <c r="K66" s="94" t="inlineStr">
        <is>
          <t>✦ PERFECT DAY</t>
        </is>
      </c>
    </row>
    <row r="67" ht="15" customHeight="1">
      <c r="A67" s="1" t="n"/>
      <c r="B67" s="130" t="n">
        <v>46186</v>
      </c>
      <c r="C67" s="1" t="n"/>
      <c r="D67" s="96" t="n">
        <v>4</v>
      </c>
      <c r="E67" s="135" t="n">
        <v>4</v>
      </c>
      <c r="F67" s="136" t="n">
        <v>4</v>
      </c>
      <c r="G67" s="96" t="n">
        <v>16</v>
      </c>
      <c r="H67" s="137" t="n">
        <v>250</v>
      </c>
      <c r="I67" s="138" t="inlineStr">
        <is>
          <t>████████████</t>
        </is>
      </c>
      <c r="J67" s="139" t="b">
        <v>1</v>
      </c>
      <c r="K67" s="94" t="inlineStr">
        <is>
          <t>✦ PERFECT DAY</t>
        </is>
      </c>
    </row>
    <row r="68" ht="15" customHeight="1">
      <c r="A68" s="1" t="n"/>
      <c r="B68" s="125" t="n">
        <v>46187</v>
      </c>
      <c r="C68" s="1" t="n"/>
      <c r="D68" s="96" t="n">
        <v>1</v>
      </c>
      <c r="E68" s="135" t="n">
        <v>2</v>
      </c>
      <c r="F68" s="136" t="n">
        <v>2</v>
      </c>
      <c r="G68" s="96" t="n">
        <v>6</v>
      </c>
      <c r="H68" s="137" t="n">
        <v>87</v>
      </c>
      <c r="I68" s="52" t="inlineStr">
        <is>
          <t>████░░░░░░░░</t>
        </is>
      </c>
      <c r="J68" s="139" t="b">
        <v>1</v>
      </c>
      <c r="K68" s="94" t="inlineStr">
        <is>
          <t>✦ PERFECT DAY</t>
        </is>
      </c>
    </row>
    <row r="69" ht="15" customHeight="1">
      <c r="A69" s="1" t="n"/>
      <c r="B69" s="130" t="n">
        <v>46188</v>
      </c>
      <c r="C69" s="1" t="n"/>
      <c r="D69" s="131" t="n">
        <v>0</v>
      </c>
      <c r="E69" s="141" t="n">
        <v>1</v>
      </c>
      <c r="F69" s="132" t="n">
        <v>0</v>
      </c>
      <c r="G69" s="133" t="n">
        <v>1</v>
      </c>
      <c r="H69" s="45" t="n">
        <v>13</v>
      </c>
      <c r="I69" s="20" t="inlineStr">
        <is>
          <t>░░░░░░░░░░░░</t>
        </is>
      </c>
      <c r="J69" s="134" t="b">
        <v>0</v>
      </c>
      <c r="K69" s="29" t="n"/>
      <c r="L69" s="29" t="n"/>
      <c r="M69" s="29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</row>
    <row r="71" ht="10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</row>
    <row r="72" ht="20" customHeight="1">
      <c r="A72" s="1" t="n"/>
      <c r="B72" s="3" t="inlineStr">
        <is>
          <t xml:space="preserve">  ACHIEVEMENT BADGES</t>
        </is>
      </c>
    </row>
    <row r="73" ht="20" customHeight="1">
      <c r="A73" s="1" t="n"/>
      <c r="B73" s="142" t="inlineStr">
        <is>
          <t>7-DAY WARRIOR</t>
        </is>
      </c>
      <c r="E73" s="142" t="inlineStr">
        <is>
          <t>30-DAY GRIND</t>
        </is>
      </c>
      <c r="H73" s="142" t="inlineStr">
        <is>
          <t>CRAFT MASTER</t>
        </is>
      </c>
      <c r="K73" s="142" t="inlineStr">
        <is>
          <t>BUSINESS MODE</t>
        </is>
      </c>
    </row>
    <row r="74" ht="14" customHeight="1">
      <c r="A74" s="1" t="n"/>
    </row>
    <row r="75" ht="20" customHeight="1">
      <c r="A75" s="1" t="n"/>
      <c r="B75" s="142" t="inlineStr">
        <is>
          <t>IRON BODY</t>
        </is>
      </c>
      <c r="E75" s="142" t="inlineStr">
        <is>
          <t>FIRST BOOKING</t>
        </is>
      </c>
      <c r="H75" s="142" t="inlineStr">
        <is>
          <t>$10K MONTH</t>
        </is>
      </c>
      <c r="K75" s="142" t="inlineStr">
        <is>
          <t>LEVEL 10</t>
        </is>
      </c>
    </row>
    <row r="76" ht="14" customHeight="1">
      <c r="A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</row>
  </sheetData>
  <mergeCells count="28">
    <mergeCell ref="K63:M63"/>
    <mergeCell ref="H75:J76"/>
    <mergeCell ref="C3:M3"/>
    <mergeCell ref="C6:J6"/>
    <mergeCell ref="B23:M23"/>
    <mergeCell ref="G4:M4"/>
    <mergeCell ref="K67:M67"/>
    <mergeCell ref="B1:M1"/>
    <mergeCell ref="B75:D76"/>
    <mergeCell ref="B38:M38"/>
    <mergeCell ref="D4:F4"/>
    <mergeCell ref="B9:M9"/>
    <mergeCell ref="E73:G74"/>
    <mergeCell ref="B30:M30"/>
    <mergeCell ref="K75:M76"/>
    <mergeCell ref="B73:D74"/>
    <mergeCell ref="H73:J74"/>
    <mergeCell ref="K65:M65"/>
    <mergeCell ref="K66:M66"/>
    <mergeCell ref="K6:M6"/>
    <mergeCell ref="C2:M2"/>
    <mergeCell ref="K68:M68"/>
    <mergeCell ref="B16:M16"/>
    <mergeCell ref="B72:M72"/>
    <mergeCell ref="D7:M7"/>
    <mergeCell ref="K64:M64"/>
    <mergeCell ref="K73:M74"/>
    <mergeCell ref="E75:G76"/>
  </mergeCells>
  <conditionalFormatting sqref="B73">
    <cfRule type="expression" priority="1" dxfId="3">
      <formula>=COUNTIF(J44:J73,TRUE)&gt;=7</formula>
    </cfRule>
  </conditionalFormatting>
  <conditionalFormatting sqref="E73">
    <cfRule type="expression" priority="2" dxfId="3">
      <formula>=COUNTIF(J44:J73,TRUE)&gt;=28</formula>
    </cfRule>
  </conditionalFormatting>
  <conditionalFormatting sqref="H73">
    <cfRule type="expression" priority="3" dxfId="3">
      <formula>=SUM(C44:C73)&gt;=100</formula>
    </cfRule>
  </conditionalFormatting>
  <conditionalFormatting sqref="K73">
    <cfRule type="expression" priority="4" dxfId="3">
      <formula>=SUM(F44:F73)&gt;=50</formula>
    </cfRule>
  </conditionalFormatting>
  <conditionalFormatting sqref="B75">
    <cfRule type="expression" priority="5" dxfId="3">
      <formula>=SUM(D44:D73)&gt;=80</formula>
    </cfRule>
  </conditionalFormatting>
  <conditionalFormatting sqref="E75">
    <cfRule type="expression" priority="6" dxfId="3">
      <formula>=Pipeline!D3&gt;0</formula>
    </cfRule>
  </conditionalFormatting>
  <conditionalFormatting sqref="H75">
    <cfRule type="expression" priority="7" dxfId="3">
      <formula>=Revenue!D14&gt;10000</formula>
    </cfRule>
  </conditionalFormatting>
  <conditionalFormatting sqref="K75">
    <cfRule type="expression" priority="8" dxfId="3">
      <formula>=Habits!B5&gt;=1500</formula>
    </cfRule>
  </conditionalFormatting>
  <dataValidations count="16">
    <dataValidation sqref="E11:K11" showDropDown="0" showInputMessage="0" showErrorMessage="0" allowBlank="1" type="list">
      <formula1>"✓,—"</formula1>
    </dataValidation>
    <dataValidation sqref="E12:K12" showDropDown="0" showInputMessage="0" showErrorMessage="0" allowBlank="1" type="list">
      <formula1>"✓,—"</formula1>
    </dataValidation>
    <dataValidation sqref="E13:K13" showDropDown="0" showInputMessage="0" showErrorMessage="0" allowBlank="1" type="list">
      <formula1>"✓,—"</formula1>
    </dataValidation>
    <dataValidation sqref="E14:K14" showDropDown="0" showInputMessage="0" showErrorMessage="0" allowBlank="1" type="list">
      <formula1>"✓,—"</formula1>
    </dataValidation>
    <dataValidation sqref="E18:K18" showDropDown="0" showInputMessage="0" showErrorMessage="0" allowBlank="1" type="list">
      <formula1>"✓,—"</formula1>
    </dataValidation>
    <dataValidation sqref="E19:K19" showDropDown="0" showInputMessage="0" showErrorMessage="0" allowBlank="1" type="list">
      <formula1>"✓,—"</formula1>
    </dataValidation>
    <dataValidation sqref="E20:K20" showDropDown="0" showInputMessage="0" showErrorMessage="0" allowBlank="1" type="list">
      <formula1>"✓,—"</formula1>
    </dataValidation>
    <dataValidation sqref="E21:K21" showDropDown="0" showInputMessage="0" showErrorMessage="0" allowBlank="1" type="list">
      <formula1>"✓,—"</formula1>
    </dataValidation>
    <dataValidation sqref="E25:K25" showDropDown="0" showInputMessage="0" showErrorMessage="0" allowBlank="1" type="list">
      <formula1>"✓,—"</formula1>
    </dataValidation>
    <dataValidation sqref="E26:K26" showDropDown="0" showInputMessage="0" showErrorMessage="0" allowBlank="1" type="list">
      <formula1>"✓,—"</formula1>
    </dataValidation>
    <dataValidation sqref="E27:K27" showDropDown="0" showInputMessage="0" showErrorMessage="0" allowBlank="1" type="list">
      <formula1>"✓,—"</formula1>
    </dataValidation>
    <dataValidation sqref="E28:K28" showDropDown="0" showInputMessage="0" showErrorMessage="0" allowBlank="1" type="list">
      <formula1>"✓,—"</formula1>
    </dataValidation>
    <dataValidation sqref="E32:K32" showDropDown="0" showInputMessage="0" showErrorMessage="0" allowBlank="1" type="list">
      <formula1>"✓,—"</formula1>
    </dataValidation>
    <dataValidation sqref="E33:K33" showDropDown="0" showInputMessage="0" showErrorMessage="0" allowBlank="1" type="list">
      <formula1>"✓,—"</formula1>
    </dataValidation>
    <dataValidation sqref="E34:K34" showDropDown="0" showInputMessage="0" showErrorMessage="0" allowBlank="1" type="list">
      <formula1>"✓,—"</formula1>
    </dataValidation>
    <dataValidation sqref="E35:K35" showDropDown="0" showInputMessage="0" showErrorMessage="0" allowBlank="1" type="list">
      <formula1>"✓,—"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SERVICE_TYPES</t>
        </is>
      </c>
      <c r="D1" t="inlineStr">
        <is>
          <t>XP_MIN</t>
        </is>
      </c>
      <c r="E1" t="inlineStr">
        <is>
          <t>LEVEL</t>
        </is>
      </c>
      <c r="F1" t="inlineStr">
        <is>
          <t>RANK_TITLE</t>
        </is>
      </c>
    </row>
    <row r="2">
      <c r="A2" t="inlineStr">
        <is>
          <t>Commercial</t>
        </is>
      </c>
      <c r="D2" t="n">
        <v>0</v>
      </c>
      <c r="E2" t="n">
        <v>1</v>
      </c>
      <c r="F2" t="inlineStr">
        <is>
          <t>Apprentice</t>
        </is>
      </c>
    </row>
    <row r="3">
      <c r="A3" t="inlineStr">
        <is>
          <t>Wedding Film</t>
        </is>
      </c>
      <c r="D3" t="n">
        <v>200</v>
      </c>
      <c r="E3" t="n">
        <v>2</v>
      </c>
      <c r="F3" t="inlineStr">
        <is>
          <t>Apprentice II</t>
        </is>
      </c>
    </row>
    <row r="4">
      <c r="A4" t="inlineStr">
        <is>
          <t>Music Video</t>
        </is>
      </c>
      <c r="D4" t="n">
        <v>400</v>
      </c>
      <c r="E4" t="n">
        <v>3</v>
      </c>
      <c r="F4" t="inlineStr">
        <is>
          <t>Apprentice III</t>
        </is>
      </c>
    </row>
    <row r="5">
      <c r="A5" t="inlineStr">
        <is>
          <t>Documentary</t>
        </is>
      </c>
      <c r="D5" t="n">
        <v>600</v>
      </c>
      <c r="E5" t="n">
        <v>4</v>
      </c>
      <c r="F5" t="inlineStr">
        <is>
          <t>Journeyman</t>
        </is>
      </c>
    </row>
    <row r="6">
      <c r="A6" t="inlineStr">
        <is>
          <t>Brand Video</t>
        </is>
      </c>
      <c r="D6" t="n">
        <v>900</v>
      </c>
      <c r="E6" t="n">
        <v>5</v>
      </c>
      <c r="F6" t="inlineStr">
        <is>
          <t>Journeyman II</t>
        </is>
      </c>
    </row>
    <row r="7">
      <c r="A7" t="inlineStr">
        <is>
          <t>Event Coverage</t>
        </is>
      </c>
      <c r="D7" t="n">
        <v>1200</v>
      </c>
      <c r="E7" t="n">
        <v>6</v>
      </c>
      <c r="F7" t="inlineStr">
        <is>
          <t>Journeyman III</t>
        </is>
      </c>
    </row>
    <row r="8">
      <c r="A8" t="inlineStr">
        <is>
          <t>Ad Campaign</t>
        </is>
      </c>
      <c r="D8" t="n">
        <v>1500</v>
      </c>
      <c r="E8" t="n">
        <v>7</v>
      </c>
      <c r="F8" t="inlineStr">
        <is>
          <t>Craftsman</t>
        </is>
      </c>
    </row>
    <row r="9">
      <c r="A9" t="inlineStr">
        <is>
          <t>Product Shoot</t>
        </is>
      </c>
      <c r="D9" t="n">
        <v>1900</v>
      </c>
      <c r="E9" t="n">
        <v>8</v>
      </c>
      <c r="F9" t="inlineStr">
        <is>
          <t>Craftsman II</t>
        </is>
      </c>
    </row>
    <row r="10">
      <c r="A10" t="inlineStr">
        <is>
          <t>Corporate Film</t>
        </is>
      </c>
      <c r="D10" t="n">
        <v>2300</v>
      </c>
      <c r="E10" t="n">
        <v>9</v>
      </c>
      <c r="F10" t="inlineStr">
        <is>
          <t>Craftsman III</t>
        </is>
      </c>
    </row>
    <row r="11">
      <c r="A11" t="inlineStr">
        <is>
          <t>Personal Project</t>
        </is>
      </c>
      <c r="D11" t="n">
        <v>2700</v>
      </c>
      <c r="E11" t="n">
        <v>10</v>
      </c>
      <c r="F11" t="inlineStr">
        <is>
          <t>Artisan</t>
        </is>
      </c>
    </row>
    <row r="12">
      <c r="D12" t="n">
        <v>3200</v>
      </c>
      <c r="E12" t="n">
        <v>11</v>
      </c>
      <c r="F12" t="inlineStr">
        <is>
          <t>Artisan II</t>
        </is>
      </c>
    </row>
    <row r="13">
      <c r="D13" t="n">
        <v>3800</v>
      </c>
      <c r="E13" t="n">
        <v>12</v>
      </c>
      <c r="F13" t="inlineStr">
        <is>
          <t>Artisan III</t>
        </is>
      </c>
    </row>
    <row r="14">
      <c r="D14" t="n">
        <v>4400</v>
      </c>
      <c r="E14" t="n">
        <v>13</v>
      </c>
      <c r="F14" t="inlineStr">
        <is>
          <t>Senior Artisan</t>
        </is>
      </c>
    </row>
    <row r="15">
      <c r="D15" t="n">
        <v>5000</v>
      </c>
      <c r="E15" t="n">
        <v>14</v>
      </c>
      <c r="F15" t="inlineStr">
        <is>
          <t>Master</t>
        </is>
      </c>
    </row>
    <row r="16">
      <c r="D16" t="n">
        <v>5800</v>
      </c>
      <c r="E16" t="n">
        <v>15</v>
      </c>
      <c r="F16" t="inlineStr">
        <is>
          <t>Master II</t>
        </is>
      </c>
    </row>
    <row r="17">
      <c r="D17" t="n">
        <v>6700</v>
      </c>
      <c r="E17" t="n">
        <v>16</v>
      </c>
      <c r="F17" t="inlineStr">
        <is>
          <t>Master III</t>
        </is>
      </c>
    </row>
    <row r="18">
      <c r="D18" t="n">
        <v>7700</v>
      </c>
      <c r="E18" t="n">
        <v>17</v>
      </c>
      <c r="F18" t="inlineStr">
        <is>
          <t>Grand Master</t>
        </is>
      </c>
    </row>
    <row r="19">
      <c r="D19" t="n">
        <v>8800</v>
      </c>
      <c r="E19" t="n">
        <v>18</v>
      </c>
      <c r="F19" t="inlineStr">
        <is>
          <t>Grand Master II</t>
        </is>
      </c>
    </row>
    <row r="20">
      <c r="D20" t="n">
        <v>9900</v>
      </c>
      <c r="E20" t="n">
        <v>19</v>
      </c>
      <c r="F20" t="inlineStr">
        <is>
          <t>Grand Master III</t>
        </is>
      </c>
    </row>
    <row r="21">
      <c r="D21" t="n">
        <v>10000</v>
      </c>
      <c r="E21" t="n">
        <v>20</v>
      </c>
      <c r="F21" t="inlineStr">
        <is>
          <t>Legend</t>
        </is>
      </c>
    </row>
    <row r="22">
      <c r="D22" t="n">
        <v>12000</v>
      </c>
      <c r="E22" t="n">
        <v>21</v>
      </c>
      <c r="F22" t="inlineStr">
        <is>
          <t>Legend II</t>
        </is>
      </c>
    </row>
    <row r="23">
      <c r="D23" t="n">
        <v>14500</v>
      </c>
      <c r="E23" t="n">
        <v>22</v>
      </c>
      <c r="F23" t="inlineStr">
        <is>
          <t>Legend III</t>
        </is>
      </c>
    </row>
    <row r="24">
      <c r="D24" t="n">
        <v>17000</v>
      </c>
      <c r="E24" t="n">
        <v>23</v>
      </c>
      <c r="F24" t="inlineStr">
        <is>
          <t>Visionary</t>
        </is>
      </c>
    </row>
    <row r="25">
      <c r="D25" t="n">
        <v>20000</v>
      </c>
      <c r="E25" t="n">
        <v>24</v>
      </c>
      <c r="F25" t="inlineStr">
        <is>
          <t>Visionary II</t>
        </is>
      </c>
    </row>
    <row r="26">
      <c r="D26" t="n">
        <v>24000</v>
      </c>
      <c r="E26" t="n">
        <v>25</v>
      </c>
      <c r="F26" t="inlineStr">
        <is>
          <t>Elite Visionary</t>
        </is>
      </c>
    </row>
    <row r="27">
      <c r="D27" t="n">
        <v>28000</v>
      </c>
      <c r="E27" t="n">
        <v>26</v>
      </c>
      <c r="F27" t="inlineStr">
        <is>
          <t>Icon</t>
        </is>
      </c>
    </row>
    <row r="28">
      <c r="D28" t="n">
        <v>33000</v>
      </c>
      <c r="E28" t="n">
        <v>27</v>
      </c>
      <c r="F28" t="inlineStr">
        <is>
          <t>Icon II</t>
        </is>
      </c>
    </row>
    <row r="29">
      <c r="D29" t="n">
        <v>38000</v>
      </c>
      <c r="E29" t="n">
        <v>28</v>
      </c>
      <c r="F29" t="inlineStr">
        <is>
          <t>Grand Icon</t>
        </is>
      </c>
    </row>
    <row r="30">
      <c r="D30" t="n">
        <v>44000</v>
      </c>
      <c r="E30" t="n">
        <v>29</v>
      </c>
      <c r="F30" t="inlineStr">
        <is>
          <t>Immortal</t>
        </is>
      </c>
    </row>
    <row r="31">
      <c r="D31" t="n">
        <v>50000</v>
      </c>
      <c r="E31" t="n">
        <v>30</v>
      </c>
      <c r="F31" t="inlineStr">
        <is>
          <t>LEGEND: CINEMATOGRAPHER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2026-06-15T19:34:39Z</dcterms:created>
  <dcterms:modified xsi:type="dcterms:W3CDTF">2026-06-15T19:34:39Z</dcterms:modified>
</cp:coreProperties>
</file>