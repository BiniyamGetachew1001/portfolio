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Monthly Projection" sheetId="2" state="visible" r:id="rId2"/>
    <sheet name="Goal Tracker" sheetId="3" state="visible" r:id="rId3"/>
    <sheet name="Income Milest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"/>
    <numFmt numFmtId="165" formatCode="$#,##0;($#,##0);&quot;-&quot;"/>
    <numFmt numFmtId="166" formatCode="0.0%;(0.0%);-"/>
    <numFmt numFmtId="167" formatCode="0.0%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sz val="11"/>
    </font>
    <font>
      <name val="Arial"/>
      <i val="1"/>
      <color rgb="00999999"/>
      <sz val="9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  <font>
      <name val="Arial"/>
      <color rgb="00888888"/>
      <sz val="10"/>
    </font>
    <font>
      <name val="Arial"/>
      <b val="1"/>
      <color rgb="0000D4FF"/>
      <sz val="11"/>
    </font>
    <font>
      <name val="Arial"/>
      <b val="1"/>
      <color rgb="00006400"/>
      <sz val="11"/>
    </font>
    <font>
      <name val="Arial"/>
      <b val="1"/>
      <sz val="12"/>
    </font>
  </fonts>
  <fills count="7">
    <fill>
      <patternFill/>
    </fill>
    <fill>
      <patternFill patternType="gray125"/>
    </fill>
    <fill>
      <patternFill patternType="solid">
        <fgColor rgb="000D0D0D"/>
      </patternFill>
    </fill>
    <fill>
      <patternFill patternType="solid">
        <fgColor rgb="002D2D2D"/>
      </patternFill>
    </fill>
    <fill>
      <patternFill patternType="solid">
        <fgColor rgb="00FFFF99"/>
      </patternFill>
    </fill>
    <fill>
      <patternFill patternType="solid">
        <fgColor rgb="00F7F7F7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1" fontId="5" fillId="4" borderId="0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 wrapText="1"/>
    </xf>
    <xf numFmtId="164" fontId="5" fillId="4" borderId="0" applyAlignment="1" pivotButton="0" quotePrefix="0" xfId="0">
      <alignment horizontal="right"/>
    </xf>
    <xf numFmtId="9" fontId="5" fillId="4" borderId="0" applyAlignment="1" pivotButton="0" quotePrefix="0" xfId="0">
      <alignment horizontal="right"/>
    </xf>
    <xf numFmtId="0" fontId="3" fillId="2" borderId="0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left" vertical="center" wrapText="1"/>
    </xf>
    <xf numFmtId="164" fontId="8" fillId="5" borderId="0" applyAlignment="1" pivotButton="0" quotePrefix="0" xfId="0">
      <alignment horizontal="right"/>
    </xf>
    <xf numFmtId="164" fontId="9" fillId="5" borderId="0" applyAlignment="1" pivotButton="0" quotePrefix="0" xfId="0">
      <alignment horizontal="right"/>
    </xf>
    <xf numFmtId="164" fontId="10" fillId="5" borderId="0" applyAlignment="1" pivotButton="0" quotePrefix="0" xfId="0">
      <alignment horizontal="right"/>
    </xf>
    <xf numFmtId="165" fontId="8" fillId="5" borderId="0" applyAlignment="1" pivotButton="0" quotePrefix="0" xfId="0">
      <alignment horizontal="right"/>
    </xf>
    <xf numFmtId="166" fontId="8" fillId="5" borderId="0" applyAlignment="1" pivotButton="0" quotePrefix="0" xfId="0">
      <alignment horizontal="right"/>
    </xf>
    <xf numFmtId="0" fontId="7" fillId="6" borderId="0" applyAlignment="1" pivotButton="0" quotePrefix="0" xfId="0">
      <alignment horizontal="left" vertical="center" wrapText="1"/>
    </xf>
    <xf numFmtId="164" fontId="8" fillId="6" borderId="0" applyAlignment="1" pivotButton="0" quotePrefix="0" xfId="0">
      <alignment horizontal="right"/>
    </xf>
    <xf numFmtId="164" fontId="9" fillId="6" borderId="0" applyAlignment="1" pivotButton="0" quotePrefix="0" xfId="0">
      <alignment horizontal="right"/>
    </xf>
    <xf numFmtId="164" fontId="10" fillId="6" borderId="0" applyAlignment="1" pivotButton="0" quotePrefix="0" xfId="0">
      <alignment horizontal="right"/>
    </xf>
    <xf numFmtId="165" fontId="8" fillId="6" borderId="0" applyAlignment="1" pivotButton="0" quotePrefix="0" xfId="0">
      <alignment horizontal="right"/>
    </xf>
    <xf numFmtId="166" fontId="8" fillId="6" borderId="0" applyAlignment="1" pivotButton="0" quotePrefix="0" xfId="0">
      <alignment horizontal="right"/>
    </xf>
    <xf numFmtId="0" fontId="2" fillId="2" borderId="0" applyAlignment="1" pivotButton="0" quotePrefix="0" xfId="0">
      <alignment horizontal="left" vertical="center" wrapText="1"/>
    </xf>
    <xf numFmtId="164" fontId="11" fillId="2" borderId="0" applyAlignment="1" pivotButton="0" quotePrefix="0" xfId="0">
      <alignment horizontal="right"/>
    </xf>
    <xf numFmtId="165" fontId="11" fillId="2" borderId="0" applyAlignment="1" pivotButton="0" quotePrefix="0" xfId="0">
      <alignment horizontal="right"/>
    </xf>
    <xf numFmtId="167" fontId="11" fillId="2" borderId="0" applyAlignment="1" pivotButton="0" quotePrefix="0" xfId="0">
      <alignment horizontal="right"/>
    </xf>
    <xf numFmtId="0" fontId="7" fillId="0" borderId="0" applyAlignment="1" pivotButton="0" quotePrefix="0" xfId="0">
      <alignment horizontal="left" vertical="center" wrapText="1"/>
    </xf>
    <xf numFmtId="164" fontId="12" fillId="0" borderId="0" applyAlignment="1" pivotButton="0" quotePrefix="0" xfId="0">
      <alignment horizontal="right"/>
    </xf>
    <xf numFmtId="164" fontId="8" fillId="4" borderId="0" applyAlignment="1" pivotButton="0" quotePrefix="0" xfId="0">
      <alignment horizontal="right"/>
    </xf>
    <xf numFmtId="0" fontId="8" fillId="5" borderId="0" applyAlignment="1" pivotButton="0" quotePrefix="0" xfId="0">
      <alignment horizontal="center"/>
    </xf>
    <xf numFmtId="0" fontId="8" fillId="6" borderId="0" applyAlignment="1" pivotButton="0" quotePrefix="0" xfId="0">
      <alignment horizontal="center"/>
    </xf>
    <xf numFmtId="0" fontId="3" fillId="3" borderId="0" applyAlignment="1" pivotButton="0" quotePrefix="0" xfId="0">
      <alignment horizontal="center" vertical="center" wrapText="1"/>
    </xf>
    <xf numFmtId="164" fontId="13" fillId="6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wrapText="1"/>
    </xf>
    <xf numFmtId="164" fontId="13" fillId="5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30" customWidth="1" min="4" max="4"/>
  </cols>
  <sheetData>
    <row r="1" ht="36" customHeight="1">
      <c r="B1" s="1" t="inlineStr">
        <is>
          <t>REVENUE ASSUMPTIONS</t>
        </is>
      </c>
    </row>
    <row r="3">
      <c r="B3" s="2" t="inlineStr">
        <is>
          <t>RETAINER CLIENTS</t>
        </is>
      </c>
      <c r="C3" s="3" t="inlineStr"/>
    </row>
    <row r="4">
      <c r="B4" s="4" t="inlineStr">
        <is>
          <t>Essential clients (qty)</t>
        </is>
      </c>
      <c r="C4" s="5" t="n">
        <v>2</v>
      </c>
      <c r="D4" s="6" t="inlineStr">
        <is>
          <t>← adjust this</t>
        </is>
      </c>
    </row>
    <row r="5">
      <c r="B5" s="4" t="inlineStr">
        <is>
          <t>Advanced clients (qty)</t>
        </is>
      </c>
      <c r="C5" s="5" t="n">
        <v>1</v>
      </c>
      <c r="D5" s="6" t="inlineStr">
        <is>
          <t>← adjust this</t>
        </is>
      </c>
    </row>
    <row r="6">
      <c r="B6" s="4" t="inlineStr">
        <is>
          <t>Premium clients (qty)</t>
        </is>
      </c>
      <c r="C6" s="5" t="n">
        <v>2</v>
      </c>
      <c r="D6" s="6" t="inlineStr">
        <is>
          <t>← adjust this</t>
        </is>
      </c>
    </row>
    <row r="7">
      <c r="B7" s="4" t="inlineStr">
        <is>
          <t>Master clients (qty)</t>
        </is>
      </c>
      <c r="C7" s="5" t="n">
        <v>0</v>
      </c>
      <c r="D7" s="6" t="inlineStr">
        <is>
          <t>← adjust this</t>
        </is>
      </c>
    </row>
    <row r="9">
      <c r="B9" s="2" t="inlineStr">
        <is>
          <t>RETAINER PRICES / MONTH</t>
        </is>
      </c>
      <c r="C9" s="3" t="inlineStr"/>
    </row>
    <row r="10">
      <c r="B10" s="4" t="inlineStr">
        <is>
          <t>Essential price</t>
        </is>
      </c>
      <c r="C10" s="7" t="n">
        <v>400</v>
      </c>
      <c r="D10" s="6" t="inlineStr">
        <is>
          <t>← adjust this</t>
        </is>
      </c>
    </row>
    <row r="11">
      <c r="B11" s="4" t="inlineStr">
        <is>
          <t>Advanced price</t>
        </is>
      </c>
      <c r="C11" s="7" t="n">
        <v>800</v>
      </c>
      <c r="D11" s="6" t="inlineStr">
        <is>
          <t>← adjust this</t>
        </is>
      </c>
    </row>
    <row r="12">
      <c r="B12" s="4" t="inlineStr">
        <is>
          <t>Premium price</t>
        </is>
      </c>
      <c r="C12" s="7" t="n">
        <v>1050</v>
      </c>
      <c r="D12" s="6" t="inlineStr">
        <is>
          <t>← adjust this</t>
        </is>
      </c>
    </row>
    <row r="13">
      <c r="B13" s="4" t="inlineStr">
        <is>
          <t>Master price</t>
        </is>
      </c>
      <c r="C13" s="7" t="n">
        <v>1500</v>
      </c>
      <c r="D13" s="6" t="inlineStr">
        <is>
          <t>← adjust this</t>
        </is>
      </c>
    </row>
    <row r="15">
      <c r="B15" s="2" t="inlineStr">
        <is>
          <t>ONE-OFF PROJECTS</t>
        </is>
      </c>
      <c r="C15" s="3" t="inlineStr"/>
    </row>
    <row r="16">
      <c r="B16" s="4" t="inlineStr">
        <is>
          <t>Sprint projects / month</t>
        </is>
      </c>
      <c r="C16" s="5" t="n">
        <v>2</v>
      </c>
      <c r="D16" s="6" t="inlineStr">
        <is>
          <t>← adjust this</t>
        </is>
      </c>
    </row>
    <row r="17">
      <c r="B17" s="4" t="inlineStr">
        <is>
          <t>Sprint avg price</t>
        </is>
      </c>
      <c r="C17" s="7" t="n">
        <v>500</v>
      </c>
      <c r="D17" s="6" t="inlineStr">
        <is>
          <t>← adjust this</t>
        </is>
      </c>
    </row>
    <row r="18">
      <c r="B18" s="4" t="inlineStr">
        <is>
          <t>Campaign projects / month</t>
        </is>
      </c>
      <c r="C18" s="5" t="n">
        <v>1</v>
      </c>
      <c r="D18" s="6" t="inlineStr">
        <is>
          <t>← adjust this</t>
        </is>
      </c>
    </row>
    <row r="19">
      <c r="B19" s="4" t="inlineStr">
        <is>
          <t>Campaign avg price</t>
        </is>
      </c>
      <c r="C19" s="7" t="n">
        <v>1200</v>
      </c>
      <c r="D19" s="6" t="inlineStr">
        <is>
          <t>← adjust this</t>
        </is>
      </c>
    </row>
    <row r="21">
      <c r="B21" s="2" t="inlineStr">
        <is>
          <t>GOALS</t>
        </is>
      </c>
      <c r="C21" s="3" t="inlineStr"/>
    </row>
    <row r="22">
      <c r="B22" s="4" t="inlineStr">
        <is>
          <t>Monthly revenue target</t>
        </is>
      </c>
      <c r="C22" s="7" t="n">
        <v>5000</v>
      </c>
      <c r="D22" s="6" t="inlineStr">
        <is>
          <t>← adjust this</t>
        </is>
      </c>
    </row>
    <row r="23">
      <c r="B23" s="4" t="inlineStr">
        <is>
          <t>Annual revenue target</t>
        </is>
      </c>
      <c r="C23" s="7">
        <f>B23*12</f>
        <v/>
      </c>
      <c r="D23" s="6" t="inlineStr">
        <is>
          <t>← adjust this</t>
        </is>
      </c>
    </row>
    <row r="24">
      <c r="B24" s="4" t="inlineStr">
        <is>
          <t>Est. profit margin</t>
        </is>
      </c>
      <c r="C24" s="8" t="n">
        <v>0.85</v>
      </c>
      <c r="D24" s="6" t="inlineStr">
        <is>
          <t>← adjust this</t>
        </is>
      </c>
    </row>
  </sheetData>
  <mergeCells count="1">
    <mergeCell ref="B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8" customWidth="1" min="3" max="3"/>
    <col width="16" customWidth="1" min="4" max="4"/>
    <col width="18" customWidth="1" min="5" max="5"/>
    <col width="18" customWidth="1" min="6" max="6"/>
    <col width="18" customWidth="1" min="7" max="7"/>
    <col width="16" customWidth="1" min="8" max="8"/>
    <col width="16" customWidth="1" min="9" max="9"/>
  </cols>
  <sheetData>
    <row r="1" ht="32" customHeight="1">
      <c r="A1" s="9" t="inlineStr"/>
      <c r="B1" s="9" t="inlineStr">
        <is>
          <t>Month</t>
        </is>
      </c>
      <c r="C1" s="9" t="inlineStr">
        <is>
          <t>Retainer Revenue</t>
        </is>
      </c>
      <c r="D1" s="9" t="inlineStr">
        <is>
          <t>Sprint Revenue</t>
        </is>
      </c>
      <c r="E1" s="9" t="inlineStr">
        <is>
          <t>Campaign Revenue</t>
        </is>
      </c>
      <c r="F1" s="9" t="inlineStr">
        <is>
          <t>Total Revenue</t>
        </is>
      </c>
      <c r="G1" s="9" t="inlineStr">
        <is>
          <t>Monthly Target</t>
        </is>
      </c>
      <c r="H1" s="9" t="inlineStr">
        <is>
          <t>vs Target ($)</t>
        </is>
      </c>
      <c r="I1" s="9" t="inlineStr">
        <is>
          <t>vs Target (%)</t>
        </is>
      </c>
    </row>
    <row r="2" ht="22" customHeight="1">
      <c r="B2" s="10" t="inlineStr">
        <is>
          <t>January</t>
        </is>
      </c>
      <c r="C2" s="11">
        <f>Assumptions!C5*Assumptions!C11+Assumptions!C6*Assumptions!C12+Assumptions!C7*Assumptions!C13+Assumptions!C8*Assumptions!C14</f>
        <v/>
      </c>
      <c r="D2" s="11">
        <f>Assumptions!C17*Assumptions!C18</f>
        <v/>
      </c>
      <c r="E2" s="11">
        <f>Assumptions!C19*Assumptions!C20</f>
        <v/>
      </c>
      <c r="F2" s="12">
        <f>C2+D2+E2</f>
        <v/>
      </c>
      <c r="G2" s="13">
        <f>Assumptions!C23</f>
        <v/>
      </c>
      <c r="H2" s="14">
        <f>F2-G2</f>
        <v/>
      </c>
      <c r="I2" s="15">
        <f>IF(G2=0,"",F2/G2-1)</f>
        <v/>
      </c>
    </row>
    <row r="3" ht="22" customHeight="1">
      <c r="B3" s="16" t="inlineStr">
        <is>
          <t>February</t>
        </is>
      </c>
      <c r="C3" s="17">
        <f>Assumptions!C5*Assumptions!C11+Assumptions!C6*Assumptions!C12+Assumptions!C7*Assumptions!C13+Assumptions!C8*Assumptions!C14</f>
        <v/>
      </c>
      <c r="D3" s="17">
        <f>Assumptions!C17*Assumptions!C18</f>
        <v/>
      </c>
      <c r="E3" s="17">
        <f>Assumptions!C19*Assumptions!C20</f>
        <v/>
      </c>
      <c r="F3" s="18">
        <f>C3+D3+E3</f>
        <v/>
      </c>
      <c r="G3" s="19">
        <f>Assumptions!C23</f>
        <v/>
      </c>
      <c r="H3" s="20">
        <f>F3-G3</f>
        <v/>
      </c>
      <c r="I3" s="21">
        <f>IF(G3=0,"",F3/G3-1)</f>
        <v/>
      </c>
    </row>
    <row r="4" ht="22" customHeight="1">
      <c r="B4" s="10" t="inlineStr">
        <is>
          <t>March</t>
        </is>
      </c>
      <c r="C4" s="11">
        <f>Assumptions!C5*Assumptions!C11+Assumptions!C6*Assumptions!C12+Assumptions!C7*Assumptions!C13+Assumptions!C8*Assumptions!C14</f>
        <v/>
      </c>
      <c r="D4" s="11">
        <f>Assumptions!C17*Assumptions!C18</f>
        <v/>
      </c>
      <c r="E4" s="11">
        <f>Assumptions!C19*Assumptions!C20</f>
        <v/>
      </c>
      <c r="F4" s="12">
        <f>C4+D4+E4</f>
        <v/>
      </c>
      <c r="G4" s="13">
        <f>Assumptions!C23</f>
        <v/>
      </c>
      <c r="H4" s="14">
        <f>F4-G4</f>
        <v/>
      </c>
      <c r="I4" s="15">
        <f>IF(G4=0,"",F4/G4-1)</f>
        <v/>
      </c>
    </row>
    <row r="5" ht="22" customHeight="1">
      <c r="B5" s="16" t="inlineStr">
        <is>
          <t>April</t>
        </is>
      </c>
      <c r="C5" s="17">
        <f>Assumptions!C5*Assumptions!C11+Assumptions!C6*Assumptions!C12+Assumptions!C7*Assumptions!C13+Assumptions!C8*Assumptions!C14</f>
        <v/>
      </c>
      <c r="D5" s="17">
        <f>Assumptions!C17*Assumptions!C18</f>
        <v/>
      </c>
      <c r="E5" s="17">
        <f>Assumptions!C19*Assumptions!C20</f>
        <v/>
      </c>
      <c r="F5" s="18">
        <f>C5+D5+E5</f>
        <v/>
      </c>
      <c r="G5" s="19">
        <f>Assumptions!C23</f>
        <v/>
      </c>
      <c r="H5" s="20">
        <f>F5-G5</f>
        <v/>
      </c>
      <c r="I5" s="21">
        <f>IF(G5=0,"",F5/G5-1)</f>
        <v/>
      </c>
    </row>
    <row r="6" ht="22" customHeight="1">
      <c r="B6" s="10" t="inlineStr">
        <is>
          <t>May</t>
        </is>
      </c>
      <c r="C6" s="11">
        <f>Assumptions!C5*Assumptions!C11+Assumptions!C6*Assumptions!C12+Assumptions!C7*Assumptions!C13+Assumptions!C8*Assumptions!C14</f>
        <v/>
      </c>
      <c r="D6" s="11">
        <f>Assumptions!C17*Assumptions!C18</f>
        <v/>
      </c>
      <c r="E6" s="11">
        <f>Assumptions!C19*Assumptions!C20</f>
        <v/>
      </c>
      <c r="F6" s="12">
        <f>C6+D6+E6</f>
        <v/>
      </c>
      <c r="G6" s="13">
        <f>Assumptions!C23</f>
        <v/>
      </c>
      <c r="H6" s="14">
        <f>F6-G6</f>
        <v/>
      </c>
      <c r="I6" s="15">
        <f>IF(G6=0,"",F6/G6-1)</f>
        <v/>
      </c>
    </row>
    <row r="7" ht="22" customHeight="1">
      <c r="B7" s="16" t="inlineStr">
        <is>
          <t>June</t>
        </is>
      </c>
      <c r="C7" s="17">
        <f>Assumptions!C5*Assumptions!C11+Assumptions!C6*Assumptions!C12+Assumptions!C7*Assumptions!C13+Assumptions!C8*Assumptions!C14</f>
        <v/>
      </c>
      <c r="D7" s="17">
        <f>Assumptions!C17*Assumptions!C18</f>
        <v/>
      </c>
      <c r="E7" s="17">
        <f>Assumptions!C19*Assumptions!C20</f>
        <v/>
      </c>
      <c r="F7" s="18">
        <f>C7+D7+E7</f>
        <v/>
      </c>
      <c r="G7" s="19">
        <f>Assumptions!C23</f>
        <v/>
      </c>
      <c r="H7" s="20">
        <f>F7-G7</f>
        <v/>
      </c>
      <c r="I7" s="21">
        <f>IF(G7=0,"",F7/G7-1)</f>
        <v/>
      </c>
    </row>
    <row r="8" ht="22" customHeight="1">
      <c r="B8" s="10" t="inlineStr">
        <is>
          <t>July</t>
        </is>
      </c>
      <c r="C8" s="11">
        <f>Assumptions!C5*Assumptions!C11+Assumptions!C6*Assumptions!C12+Assumptions!C7*Assumptions!C13+Assumptions!C8*Assumptions!C14</f>
        <v/>
      </c>
      <c r="D8" s="11">
        <f>Assumptions!C17*Assumptions!C18</f>
        <v/>
      </c>
      <c r="E8" s="11">
        <f>Assumptions!C19*Assumptions!C20</f>
        <v/>
      </c>
      <c r="F8" s="12">
        <f>C8+D8+E8</f>
        <v/>
      </c>
      <c r="G8" s="13">
        <f>Assumptions!C23</f>
        <v/>
      </c>
      <c r="H8" s="14">
        <f>F8-G8</f>
        <v/>
      </c>
      <c r="I8" s="15">
        <f>IF(G8=0,"",F8/G8-1)</f>
        <v/>
      </c>
    </row>
    <row r="9" ht="22" customHeight="1">
      <c r="B9" s="16" t="inlineStr">
        <is>
          <t>August</t>
        </is>
      </c>
      <c r="C9" s="17">
        <f>Assumptions!C5*Assumptions!C11+Assumptions!C6*Assumptions!C12+Assumptions!C7*Assumptions!C13+Assumptions!C8*Assumptions!C14</f>
        <v/>
      </c>
      <c r="D9" s="17">
        <f>Assumptions!C17*Assumptions!C18</f>
        <v/>
      </c>
      <c r="E9" s="17">
        <f>Assumptions!C19*Assumptions!C20</f>
        <v/>
      </c>
      <c r="F9" s="18">
        <f>C9+D9+E9</f>
        <v/>
      </c>
      <c r="G9" s="19">
        <f>Assumptions!C23</f>
        <v/>
      </c>
      <c r="H9" s="20">
        <f>F9-G9</f>
        <v/>
      </c>
      <c r="I9" s="21">
        <f>IF(G9=0,"",F9/G9-1)</f>
        <v/>
      </c>
    </row>
    <row r="10" ht="22" customHeight="1">
      <c r="B10" s="10" t="inlineStr">
        <is>
          <t>September</t>
        </is>
      </c>
      <c r="C10" s="11">
        <f>Assumptions!C5*Assumptions!C11+Assumptions!C6*Assumptions!C12+Assumptions!C7*Assumptions!C13+Assumptions!C8*Assumptions!C14</f>
        <v/>
      </c>
      <c r="D10" s="11">
        <f>Assumptions!C17*Assumptions!C18</f>
        <v/>
      </c>
      <c r="E10" s="11">
        <f>Assumptions!C19*Assumptions!C20</f>
        <v/>
      </c>
      <c r="F10" s="12">
        <f>C10+D10+E10</f>
        <v/>
      </c>
      <c r="G10" s="13">
        <f>Assumptions!C23</f>
        <v/>
      </c>
      <c r="H10" s="14">
        <f>F10-G10</f>
        <v/>
      </c>
      <c r="I10" s="15">
        <f>IF(G10=0,"",F10/G10-1)</f>
        <v/>
      </c>
    </row>
    <row r="11" ht="22" customHeight="1">
      <c r="B11" s="16" t="inlineStr">
        <is>
          <t>October</t>
        </is>
      </c>
      <c r="C11" s="17">
        <f>Assumptions!C5*Assumptions!C11+Assumptions!C6*Assumptions!C12+Assumptions!C7*Assumptions!C13+Assumptions!C8*Assumptions!C14</f>
        <v/>
      </c>
      <c r="D11" s="17">
        <f>Assumptions!C17*Assumptions!C18</f>
        <v/>
      </c>
      <c r="E11" s="17">
        <f>Assumptions!C19*Assumptions!C20</f>
        <v/>
      </c>
      <c r="F11" s="18">
        <f>C11+D11+E11</f>
        <v/>
      </c>
      <c r="G11" s="19">
        <f>Assumptions!C23</f>
        <v/>
      </c>
      <c r="H11" s="20">
        <f>F11-G11</f>
        <v/>
      </c>
      <c r="I11" s="21">
        <f>IF(G11=0,"",F11/G11-1)</f>
        <v/>
      </c>
    </row>
    <row r="12" ht="22" customHeight="1">
      <c r="B12" s="10" t="inlineStr">
        <is>
          <t>November</t>
        </is>
      </c>
      <c r="C12" s="11">
        <f>Assumptions!C5*Assumptions!C11+Assumptions!C6*Assumptions!C12+Assumptions!C7*Assumptions!C13+Assumptions!C8*Assumptions!C14</f>
        <v/>
      </c>
      <c r="D12" s="11">
        <f>Assumptions!C17*Assumptions!C18</f>
        <v/>
      </c>
      <c r="E12" s="11">
        <f>Assumptions!C19*Assumptions!C20</f>
        <v/>
      </c>
      <c r="F12" s="12">
        <f>C12+D12+E12</f>
        <v/>
      </c>
      <c r="G12" s="13">
        <f>Assumptions!C23</f>
        <v/>
      </c>
      <c r="H12" s="14">
        <f>F12-G12</f>
        <v/>
      </c>
      <c r="I12" s="15">
        <f>IF(G12=0,"",F12/G12-1)</f>
        <v/>
      </c>
    </row>
    <row r="13" ht="22" customHeight="1">
      <c r="B13" s="16" t="inlineStr">
        <is>
          <t>December</t>
        </is>
      </c>
      <c r="C13" s="17">
        <f>Assumptions!C5*Assumptions!C11+Assumptions!C6*Assumptions!C12+Assumptions!C7*Assumptions!C13+Assumptions!C8*Assumptions!C14</f>
        <v/>
      </c>
      <c r="D13" s="17">
        <f>Assumptions!C17*Assumptions!C18</f>
        <v/>
      </c>
      <c r="E13" s="17">
        <f>Assumptions!C19*Assumptions!C20</f>
        <v/>
      </c>
      <c r="F13" s="18">
        <f>C13+D13+E13</f>
        <v/>
      </c>
      <c r="G13" s="19">
        <f>Assumptions!C23</f>
        <v/>
      </c>
      <c r="H13" s="20">
        <f>F13-G13</f>
        <v/>
      </c>
      <c r="I13" s="21">
        <f>IF(G13=0,"",F13/G13-1)</f>
        <v/>
      </c>
    </row>
    <row r="15">
      <c r="B15" s="22" t="inlineStr">
        <is>
          <t>ANNUAL TOTALS</t>
        </is>
      </c>
      <c r="C15" s="23">
        <f>SUM(C2:C13)</f>
        <v/>
      </c>
      <c r="D15" s="23">
        <f>SUM(D2:D13)</f>
        <v/>
      </c>
      <c r="E15" s="23">
        <f>SUM(E2:E13)</f>
        <v/>
      </c>
      <c r="F15" s="23">
        <f>SUM(F2:F13)</f>
        <v/>
      </c>
      <c r="G15" s="23">
        <f>SUM(G2:G13)</f>
        <v/>
      </c>
      <c r="H15" s="24">
        <f>SUM(H2:H13)</f>
        <v/>
      </c>
      <c r="I15" s="25">
        <f>IF(G15=0,"",F15/G15-1)</f>
        <v/>
      </c>
    </row>
    <row r="17">
      <c r="B17" s="26" t="inlineStr">
        <is>
          <t>Est. Net Income (after margin):</t>
        </is>
      </c>
      <c r="C17" s="27">
        <f>F15*Assumptions!C25</f>
        <v/>
      </c>
    </row>
  </sheetData>
  <mergeCells count="1">
    <mergeCell ref="C17:F17"/>
  </mergeCells>
  <conditionalFormatting sqref="I2:I13">
    <cfRule type="cellIs" priority="1" operator="greaterThanOrEqual" dxfId="0">
      <formula>0</formula>
    </cfRule>
    <cfRule type="cellIs" priority="2" operator="less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8" customWidth="1" min="6" max="6"/>
    <col width="18" customWidth="1" min="7" max="7"/>
    <col width="14" customWidth="1" min="8" max="8"/>
  </cols>
  <sheetData>
    <row r="1" ht="30" customHeight="1">
      <c r="A1" s="9" t="inlineStr"/>
      <c r="B1" s="9" t="inlineStr">
        <is>
          <t>Month</t>
        </is>
      </c>
      <c r="C1" s="9" t="inlineStr">
        <is>
          <t>Projected</t>
        </is>
      </c>
      <c r="D1" s="9" t="inlineStr">
        <is>
          <t>Actual</t>
        </is>
      </c>
      <c r="E1" s="9" t="inlineStr">
        <is>
          <t>Difference</t>
        </is>
      </c>
      <c r="F1" s="9" t="inlineStr">
        <is>
          <t>Cumulative Actual</t>
        </is>
      </c>
      <c r="G1" s="9" t="inlineStr">
        <is>
          <t>Cumulative Target</t>
        </is>
      </c>
      <c r="H1" s="9" t="inlineStr">
        <is>
          <t>On Track?</t>
        </is>
      </c>
    </row>
    <row r="2" ht="22" customHeight="1">
      <c r="B2" s="10" t="inlineStr">
        <is>
          <t>January</t>
        </is>
      </c>
      <c r="C2" s="11">
        <f>'Monthly Projection'!F2</f>
        <v/>
      </c>
      <c r="D2" s="28" t="n">
        <v>0</v>
      </c>
      <c r="E2" s="14">
        <f>D2-C2</f>
        <v/>
      </c>
      <c r="F2" s="11">
        <f>SUM(D$2:D2)</f>
        <v/>
      </c>
      <c r="G2" s="11">
        <f>SUM(C$2:C2)</f>
        <v/>
      </c>
      <c r="H2" s="29">
        <f>IF(D2=0,"—",IF(F2&gt;=G2,"✓ Yes","✗ Behind"))</f>
        <v/>
      </c>
    </row>
    <row r="3" ht="22" customHeight="1">
      <c r="B3" s="16" t="inlineStr">
        <is>
          <t>February</t>
        </is>
      </c>
      <c r="C3" s="17">
        <f>'Monthly Projection'!F3</f>
        <v/>
      </c>
      <c r="D3" s="28" t="n">
        <v>0</v>
      </c>
      <c r="E3" s="20">
        <f>D3-C3</f>
        <v/>
      </c>
      <c r="F3" s="17">
        <f>SUM(D$2:D3)</f>
        <v/>
      </c>
      <c r="G3" s="17">
        <f>SUM(C$2:C3)</f>
        <v/>
      </c>
      <c r="H3" s="30">
        <f>IF(D3=0,"—",IF(F3&gt;=G3,"✓ Yes","✗ Behind"))</f>
        <v/>
      </c>
    </row>
    <row r="4" ht="22" customHeight="1">
      <c r="B4" s="10" t="inlineStr">
        <is>
          <t>March</t>
        </is>
      </c>
      <c r="C4" s="11">
        <f>'Monthly Projection'!F4</f>
        <v/>
      </c>
      <c r="D4" s="28" t="n">
        <v>0</v>
      </c>
      <c r="E4" s="14">
        <f>D4-C4</f>
        <v/>
      </c>
      <c r="F4" s="11">
        <f>SUM(D$2:D4)</f>
        <v/>
      </c>
      <c r="G4" s="11">
        <f>SUM(C$2:C4)</f>
        <v/>
      </c>
      <c r="H4" s="29">
        <f>IF(D4=0,"—",IF(F4&gt;=G4,"✓ Yes","✗ Behind"))</f>
        <v/>
      </c>
    </row>
    <row r="5" ht="22" customHeight="1">
      <c r="B5" s="16" t="inlineStr">
        <is>
          <t>April</t>
        </is>
      </c>
      <c r="C5" s="17">
        <f>'Monthly Projection'!F5</f>
        <v/>
      </c>
      <c r="D5" s="28" t="n">
        <v>0</v>
      </c>
      <c r="E5" s="20">
        <f>D5-C5</f>
        <v/>
      </c>
      <c r="F5" s="17">
        <f>SUM(D$2:D5)</f>
        <v/>
      </c>
      <c r="G5" s="17">
        <f>SUM(C$2:C5)</f>
        <v/>
      </c>
      <c r="H5" s="30">
        <f>IF(D5=0,"—",IF(F5&gt;=G5,"✓ Yes","✗ Behind"))</f>
        <v/>
      </c>
    </row>
    <row r="6" ht="22" customHeight="1">
      <c r="B6" s="10" t="inlineStr">
        <is>
          <t>May</t>
        </is>
      </c>
      <c r="C6" s="11">
        <f>'Monthly Projection'!F6</f>
        <v/>
      </c>
      <c r="D6" s="28" t="n">
        <v>0</v>
      </c>
      <c r="E6" s="14">
        <f>D6-C6</f>
        <v/>
      </c>
      <c r="F6" s="11">
        <f>SUM(D$2:D6)</f>
        <v/>
      </c>
      <c r="G6" s="11">
        <f>SUM(C$2:C6)</f>
        <v/>
      </c>
      <c r="H6" s="29">
        <f>IF(D6=0,"—",IF(F6&gt;=G6,"✓ Yes","✗ Behind"))</f>
        <v/>
      </c>
    </row>
    <row r="7" ht="22" customHeight="1">
      <c r="B7" s="16" t="inlineStr">
        <is>
          <t>June</t>
        </is>
      </c>
      <c r="C7" s="17">
        <f>'Monthly Projection'!F7</f>
        <v/>
      </c>
      <c r="D7" s="28" t="n">
        <v>0</v>
      </c>
      <c r="E7" s="20">
        <f>D7-C7</f>
        <v/>
      </c>
      <c r="F7" s="17">
        <f>SUM(D$2:D7)</f>
        <v/>
      </c>
      <c r="G7" s="17">
        <f>SUM(C$2:C7)</f>
        <v/>
      </c>
      <c r="H7" s="30">
        <f>IF(D7=0,"—",IF(F7&gt;=G7,"✓ Yes","✗ Behind"))</f>
        <v/>
      </c>
    </row>
    <row r="8" ht="22" customHeight="1">
      <c r="B8" s="10" t="inlineStr">
        <is>
          <t>July</t>
        </is>
      </c>
      <c r="C8" s="11">
        <f>'Monthly Projection'!F8</f>
        <v/>
      </c>
      <c r="D8" s="28" t="n">
        <v>0</v>
      </c>
      <c r="E8" s="14">
        <f>D8-C8</f>
        <v/>
      </c>
      <c r="F8" s="11">
        <f>SUM(D$2:D8)</f>
        <v/>
      </c>
      <c r="G8" s="11">
        <f>SUM(C$2:C8)</f>
        <v/>
      </c>
      <c r="H8" s="29">
        <f>IF(D8=0,"—",IF(F8&gt;=G8,"✓ Yes","✗ Behind"))</f>
        <v/>
      </c>
    </row>
    <row r="9" ht="22" customHeight="1">
      <c r="B9" s="16" t="inlineStr">
        <is>
          <t>August</t>
        </is>
      </c>
      <c r="C9" s="17">
        <f>'Monthly Projection'!F9</f>
        <v/>
      </c>
      <c r="D9" s="28" t="n">
        <v>0</v>
      </c>
      <c r="E9" s="20">
        <f>D9-C9</f>
        <v/>
      </c>
      <c r="F9" s="17">
        <f>SUM(D$2:D9)</f>
        <v/>
      </c>
      <c r="G9" s="17">
        <f>SUM(C$2:C9)</f>
        <v/>
      </c>
      <c r="H9" s="30">
        <f>IF(D9=0,"—",IF(F9&gt;=G9,"✓ Yes","✗ Behind"))</f>
        <v/>
      </c>
    </row>
    <row r="10" ht="22" customHeight="1">
      <c r="B10" s="10" t="inlineStr">
        <is>
          <t>September</t>
        </is>
      </c>
      <c r="C10" s="11">
        <f>'Monthly Projection'!F10</f>
        <v/>
      </c>
      <c r="D10" s="28" t="n">
        <v>0</v>
      </c>
      <c r="E10" s="14">
        <f>D10-C10</f>
        <v/>
      </c>
      <c r="F10" s="11">
        <f>SUM(D$2:D10)</f>
        <v/>
      </c>
      <c r="G10" s="11">
        <f>SUM(C$2:C10)</f>
        <v/>
      </c>
      <c r="H10" s="29">
        <f>IF(D10=0,"—",IF(F10&gt;=G10,"✓ Yes","✗ Behind"))</f>
        <v/>
      </c>
    </row>
    <row r="11" ht="22" customHeight="1">
      <c r="B11" s="16" t="inlineStr">
        <is>
          <t>October</t>
        </is>
      </c>
      <c r="C11" s="17">
        <f>'Monthly Projection'!F11</f>
        <v/>
      </c>
      <c r="D11" s="28" t="n">
        <v>0</v>
      </c>
      <c r="E11" s="20">
        <f>D11-C11</f>
        <v/>
      </c>
      <c r="F11" s="17">
        <f>SUM(D$2:D11)</f>
        <v/>
      </c>
      <c r="G11" s="17">
        <f>SUM(C$2:C11)</f>
        <v/>
      </c>
      <c r="H11" s="30">
        <f>IF(D11=0,"—",IF(F11&gt;=G11,"✓ Yes","✗ Behind"))</f>
        <v/>
      </c>
    </row>
    <row r="12" ht="22" customHeight="1">
      <c r="B12" s="10" t="inlineStr">
        <is>
          <t>November</t>
        </is>
      </c>
      <c r="C12" s="11">
        <f>'Monthly Projection'!F12</f>
        <v/>
      </c>
      <c r="D12" s="28" t="n">
        <v>0</v>
      </c>
      <c r="E12" s="14">
        <f>D12-C12</f>
        <v/>
      </c>
      <c r="F12" s="11">
        <f>SUM(D$2:D12)</f>
        <v/>
      </c>
      <c r="G12" s="11">
        <f>SUM(C$2:C12)</f>
        <v/>
      </c>
      <c r="H12" s="29">
        <f>IF(D12=0,"—",IF(F12&gt;=G12,"✓ Yes","✗ Behind"))</f>
        <v/>
      </c>
    </row>
    <row r="13" ht="22" customHeight="1">
      <c r="B13" s="16" t="inlineStr">
        <is>
          <t>December</t>
        </is>
      </c>
      <c r="C13" s="17">
        <f>'Monthly Projection'!F13</f>
        <v/>
      </c>
      <c r="D13" s="28" t="n">
        <v>0</v>
      </c>
      <c r="E13" s="20">
        <f>D13-C13</f>
        <v/>
      </c>
      <c r="F13" s="17">
        <f>SUM(D$2:D13)</f>
        <v/>
      </c>
      <c r="G13" s="17">
        <f>SUM(C$2:C13)</f>
        <v/>
      </c>
      <c r="H13" s="30">
        <f>IF(D13=0,"—",IF(F13&gt;=G13,"✓ Yes","✗ Behind"))</f>
        <v/>
      </c>
    </row>
  </sheetData>
  <conditionalFormatting sqref="H2:H13">
    <cfRule type="expression" priority="1" dxfId="0">
      <formula>H2="✓ Yes"</formula>
    </cfRule>
    <cfRule type="expression" priority="2" dxfId="1">
      <formula>H2="✗ Behind"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D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32" customWidth="1" min="3" max="3"/>
    <col width="20" customWidth="1" min="4" max="4"/>
  </cols>
  <sheetData>
    <row r="1" ht="36" customHeight="1">
      <c r="B1" s="1" t="inlineStr">
        <is>
          <t>INCOME MILESTONES</t>
        </is>
      </c>
    </row>
    <row r="2">
      <c r="B2" s="31" t="inlineStr">
        <is>
          <t>Monthly Target</t>
        </is>
      </c>
      <c r="C2" s="2" t="inlineStr">
        <is>
          <t>What It Represents</t>
        </is>
      </c>
      <c r="D2" s="31" t="inlineStr">
        <is>
          <t>Status</t>
        </is>
      </c>
    </row>
    <row r="3" ht="24" customHeight="1">
      <c r="B3" s="32" t="n">
        <v>1000</v>
      </c>
      <c r="C3" s="33" t="inlineStr">
        <is>
          <t>Entry-level consistent freelancer</t>
        </is>
      </c>
      <c r="D3" s="30">
        <f>IF('Monthly Projection'!F15/12&gt;=1000,"✓ Achieved","In Progress")</f>
        <v/>
      </c>
    </row>
    <row r="4" ht="24" customHeight="1">
      <c r="B4" s="34" t="n">
        <v>2500</v>
      </c>
      <c r="C4" s="35" t="inlineStr">
        <is>
          <t>Consistent part-time income</t>
        </is>
      </c>
      <c r="D4" s="29">
        <f>IF('Monthly Projection'!F15/12&gt;=2500,"✓ Achieved","In Progress")</f>
        <v/>
      </c>
    </row>
    <row r="5" ht="24" customHeight="1">
      <c r="B5" s="32" t="n">
        <v>4000</v>
      </c>
      <c r="C5" s="33" t="inlineStr">
        <is>
          <t>Full-time freelance income replacement</t>
        </is>
      </c>
      <c r="D5" s="30">
        <f>IF('Monthly Projection'!F15/12&gt;=4000,"✓ Achieved","In Progress")</f>
        <v/>
      </c>
    </row>
    <row r="6" ht="24" customHeight="1">
      <c r="B6" s="34" t="n">
        <v>5000</v>
      </c>
      <c r="C6" s="35" t="inlineStr">
        <is>
          <t>Strong freelance income</t>
        </is>
      </c>
      <c r="D6" s="29">
        <f>IF('Monthly Projection'!F15/12&gt;=5000,"✓ Achieved","In Progress")</f>
        <v/>
      </c>
    </row>
    <row r="7" ht="24" customHeight="1">
      <c r="B7" s="32" t="n">
        <v>8000</v>
      </c>
      <c r="C7" s="33" t="inlineStr">
        <is>
          <t>Agency-level earnings</t>
        </is>
      </c>
      <c r="D7" s="30">
        <f>IF('Monthly Projection'!F15/12&gt;=8000,"✓ Achieved","In Progress")</f>
        <v/>
      </c>
    </row>
    <row r="8" ht="24" customHeight="1">
      <c r="B8" s="34" t="n">
        <v>10000</v>
      </c>
      <c r="C8" s="35" t="inlineStr">
        <is>
          <t>Top-tier creative professional</t>
        </is>
      </c>
      <c r="D8" s="29">
        <f>IF('Monthly Projection'!F15/12&gt;=10000,"✓ Achieved","In Progress")</f>
        <v/>
      </c>
    </row>
    <row r="9" ht="24" customHeight="1">
      <c r="B9" s="32" t="n">
        <v>15000</v>
      </c>
      <c r="C9" s="33" t="inlineStr">
        <is>
          <t>Studio-level revenue</t>
        </is>
      </c>
      <c r="D9" s="30">
        <f>IF('Monthly Projection'!F15/12&gt;=15000,"✓ Achieved","In Progress")</f>
        <v/>
      </c>
    </row>
  </sheetData>
  <mergeCells count="1">
    <mergeCell ref="B1:D1"/>
  </mergeCells>
  <conditionalFormatting sqref="D3:D9">
    <cfRule type="expression" priority="1" dxfId="0">
      <formula>D3="✓ Achieved"</formula>
    </cfRule>
    <cfRule type="expression" priority="2" dxfId="2">
      <formula>D3="In Progress"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2026-06-15T15:09:48Z</dcterms:created>
  <dcterms:modified xsi:type="dcterms:W3CDTF">2026-06-15T15:09:48Z</dcterms:modified>
</cp:coreProperties>
</file>