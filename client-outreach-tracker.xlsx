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Pipeline Summary" sheetId="2" state="visible" r:id="rId2"/>
    <sheet name="Follow-up Queue" sheetId="3" state="visible" r:id="rId3"/>
  </sheets>
  <definedNames>
    <definedName name="_xlnm._FilterDatabase" localSheetId="0" hidden="1">'Leads'!$A$1:$P$1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;($#,##0);&quot;-&quot;"/>
    <numFmt numFmtId="166" formatCode="0.0%"/>
    <numFmt numFmtId="167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color rgb="00000000"/>
      <sz val="12"/>
    </font>
    <font>
      <name val="Arial"/>
      <b val="1"/>
      <color rgb="00000000"/>
      <sz val="11"/>
    </font>
    <font>
      <name val="Arial"/>
      <b val="1"/>
      <color rgb="0000B4D8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right" vertical="center" wrapText="1"/>
    </xf>
    <xf numFmtId="1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7" fontId="7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C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32" customWidth="1" min="5" max="5"/>
    <col width="18" customWidth="1" min="6" max="6"/>
    <col width="14" customWidth="1" min="7" max="7"/>
    <col width="16" customWidth="1" min="8" max="8"/>
    <col width="28" customWidth="1" min="9" max="9"/>
    <col width="18" customWidth="1" min="10" max="10"/>
    <col width="14" customWidth="1" min="11" max="11"/>
    <col width="16" customWidth="1" min="12" max="12"/>
    <col width="14" customWidth="1" min="13" max="13"/>
    <col width="14" customWidth="1" min="14" max="14"/>
    <col width="16" customWidth="1" min="15" max="15"/>
    <col width="28" customWidth="1" min="16" max="16"/>
  </cols>
  <sheetData>
    <row r="1" ht="30" customHeight="1">
      <c r="A1" s="1" t="inlineStr">
        <is>
          <t>#</t>
        </is>
      </c>
      <c r="B1" s="1" t="inlineStr">
        <is>
          <t>Creator / Channel Name</t>
        </is>
      </c>
      <c r="C1" s="1" t="inlineStr">
        <is>
          <t>Platform</t>
        </is>
      </c>
      <c r="D1" s="1" t="inlineStr">
        <is>
          <t>Niche</t>
        </is>
      </c>
      <c r="E1" s="1" t="inlineStr">
        <is>
          <t>Profile / Channel URL</t>
        </is>
      </c>
      <c r="F1" s="1" t="inlineStr">
        <is>
          <t>Subscribers / Followers</t>
        </is>
      </c>
      <c r="G1" s="1" t="inlineStr">
        <is>
          <t>Last Post Date</t>
        </is>
      </c>
      <c r="H1" s="1" t="inlineStr">
        <is>
          <t>Days Since Last Post</t>
        </is>
      </c>
      <c r="I1" s="1" t="inlineStr">
        <is>
          <t>Pain Point Observed</t>
        </is>
      </c>
      <c r="J1" s="1" t="inlineStr">
        <is>
          <t>Outreach Platform</t>
        </is>
      </c>
      <c r="K1" s="1" t="inlineStr">
        <is>
          <t>Outreach Date</t>
        </is>
      </c>
      <c r="L1" s="1" t="inlineStr">
        <is>
          <t>Status</t>
        </is>
      </c>
      <c r="M1" s="1" t="inlineStr">
        <is>
          <t>Follow-up Date</t>
        </is>
      </c>
      <c r="N1" s="1" t="inlineStr">
        <is>
          <t>Follow-up Done?</t>
        </is>
      </c>
      <c r="O1" s="1" t="inlineStr">
        <is>
          <t>Proposal Value ($)</t>
        </is>
      </c>
      <c r="P1" s="1" t="inlineStr">
        <is>
          <t>Notes</t>
        </is>
      </c>
    </row>
    <row r="2">
      <c r="A2" s="2">
        <f>ROW()-1</f>
        <v/>
      </c>
      <c r="B2" s="3" t="inlineStr">
        <is>
          <t>Alex Rivera</t>
        </is>
      </c>
      <c r="C2" s="3" t="inlineStr">
        <is>
          <t>YouTube</t>
        </is>
      </c>
      <c r="D2" s="3" t="inlineStr">
        <is>
          <t>Business</t>
        </is>
      </c>
      <c r="E2" s="3" t="inlineStr">
        <is>
          <t>https://youtube.com/@alexrivera</t>
        </is>
      </c>
      <c r="F2" s="3" t="inlineStr">
        <is>
          <t>18500</t>
        </is>
      </c>
      <c r="G2" s="4" t="inlineStr">
        <is>
          <t>2024-10-15</t>
        </is>
      </c>
      <c r="H2" s="2">
        <f>IF(G2="","",TODAY()-G2)</f>
        <v/>
      </c>
      <c r="I2" s="3" t="inlineStr">
        <is>
          <t>Posting gaps, wants to scale</t>
        </is>
      </c>
      <c r="J2" s="3" t="inlineStr">
        <is>
          <t>YouTube Comment</t>
        </is>
      </c>
      <c r="K2" s="4" t="inlineStr">
        <is>
          <t>2025-01-10</t>
        </is>
      </c>
      <c r="L2" s="3" t="inlineStr">
        <is>
          <t>Replied</t>
        </is>
      </c>
      <c r="M2" s="4" t="inlineStr">
        <is>
          <t>2025-01-15</t>
        </is>
      </c>
      <c r="N2" s="3" t="inlineStr">
        <is>
          <t>No</t>
        </is>
      </c>
      <c r="O2" s="5" t="n">
        <v>800</v>
      </c>
      <c r="P2" s="3" t="inlineStr">
        <is>
          <t>Very responsive</t>
        </is>
      </c>
    </row>
    <row r="3">
      <c r="A3" s="6">
        <f>ROW()-1</f>
        <v/>
      </c>
      <c r="B3" s="7" t="inlineStr">
        <is>
          <t>FitWithSara</t>
        </is>
      </c>
      <c r="C3" s="7" t="inlineStr">
        <is>
          <t>Instagram</t>
        </is>
      </c>
      <c r="D3" s="7" t="inlineStr">
        <is>
          <t>Fitness</t>
        </is>
      </c>
      <c r="E3" s="7" t="inlineStr">
        <is>
          <t>https://instagram.com/fitwithsara</t>
        </is>
      </c>
      <c r="F3" s="7" t="inlineStr">
        <is>
          <t>42000</t>
        </is>
      </c>
      <c r="G3" s="8" t="inlineStr">
        <is>
          <t>2024-11-20</t>
        </is>
      </c>
      <c r="H3" s="6">
        <f>IF(G3="","",TODAY()-G3)</f>
        <v/>
      </c>
      <c r="I3" s="7" t="inlineStr">
        <is>
          <t>Has course but no video editing</t>
        </is>
      </c>
      <c r="J3" s="7" t="inlineStr">
        <is>
          <t>Instagram DM</t>
        </is>
      </c>
      <c r="K3" s="8" t="inlineStr">
        <is>
          <t>2025-01-08</t>
        </is>
      </c>
      <c r="L3" s="7" t="inlineStr">
        <is>
          <t>DM Sent</t>
        </is>
      </c>
      <c r="M3" s="8" t="inlineStr">
        <is>
          <t>2025-01-13</t>
        </is>
      </c>
      <c r="N3" s="7" t="inlineStr">
        <is>
          <t>No</t>
        </is>
      </c>
      <c r="O3" s="9" t="n">
        <v>400</v>
      </c>
      <c r="P3" s="7" t="inlineStr"/>
    </row>
    <row r="4">
      <c r="A4" s="2">
        <f>ROW()-1</f>
        <v/>
      </c>
      <c r="B4" s="3" t="inlineStr">
        <is>
          <t>CoachMarkB</t>
        </is>
      </c>
      <c r="C4" s="3" t="inlineStr">
        <is>
          <t>YouTube</t>
        </is>
      </c>
      <c r="D4" s="3" t="inlineStr">
        <is>
          <t>Coaching</t>
        </is>
      </c>
      <c r="E4" s="3" t="inlineStr">
        <is>
          <t>https://youtube.com/@coachmarkb</t>
        </is>
      </c>
      <c r="F4" s="3" t="inlineStr">
        <is>
          <t>9200</t>
        </is>
      </c>
      <c r="G4" s="4" t="inlineStr">
        <is>
          <t>2024-09-01</t>
        </is>
      </c>
      <c r="H4" s="2">
        <f>IF(G4="","",TODAY()-G4)</f>
        <v/>
      </c>
      <c r="I4" s="3" t="inlineStr">
        <is>
          <t>Last post 4 months ago</t>
        </is>
      </c>
      <c r="J4" s="3" t="inlineStr">
        <is>
          <t>Cold Email</t>
        </is>
      </c>
      <c r="K4" s="4" t="inlineStr">
        <is>
          <t>2025-01-05</t>
        </is>
      </c>
      <c r="L4" s="3" t="inlineStr">
        <is>
          <t>Won</t>
        </is>
      </c>
      <c r="M4" s="4" t="inlineStr">
        <is>
          <t>2025-01-10</t>
        </is>
      </c>
      <c r="N4" s="3" t="inlineStr">
        <is>
          <t>Yes</t>
        </is>
      </c>
      <c r="O4" s="5" t="n">
        <v>1050</v>
      </c>
      <c r="P4" s="3" t="inlineStr">
        <is>
          <t>Signed retainer</t>
        </is>
      </c>
    </row>
    <row r="5">
      <c r="A5" s="6">
        <f>ROW()-1</f>
        <v/>
      </c>
      <c r="B5" s="7" t="inlineStr">
        <is>
          <t>RealEstate_Jay</t>
        </is>
      </c>
      <c r="C5" s="7" t="inlineStr">
        <is>
          <t>LinkedIn</t>
        </is>
      </c>
      <c r="D5" s="7" t="inlineStr">
        <is>
          <t>Real Estate</t>
        </is>
      </c>
      <c r="E5" s="7" t="inlineStr">
        <is>
          <t>https://linkedin.com/in/realestatejay</t>
        </is>
      </c>
      <c r="F5" s="7" t="inlineStr">
        <is>
          <t>5600</t>
        </is>
      </c>
      <c r="G5" s="8" t="inlineStr">
        <is>
          <t>2024-12-01</t>
        </is>
      </c>
      <c r="H5" s="6">
        <f>IF(G5="","",TODAY()-G5)</f>
        <v/>
      </c>
      <c r="I5" s="7" t="inlineStr">
        <is>
          <t>Posts raw unedited walk-throughs</t>
        </is>
      </c>
      <c r="J5" s="7" t="inlineStr">
        <is>
          <t>LinkedIn DM</t>
        </is>
      </c>
      <c r="K5" s="8" t="inlineStr">
        <is>
          <t>2025-01-11</t>
        </is>
      </c>
      <c r="L5" s="7" t="inlineStr">
        <is>
          <t>Call Booked</t>
        </is>
      </c>
      <c r="M5" s="8" t="inlineStr">
        <is>
          <t>2025-01-16</t>
        </is>
      </c>
      <c r="N5" s="7" t="inlineStr">
        <is>
          <t>No</t>
        </is>
      </c>
      <c r="O5" s="9" t="n">
        <v>1200</v>
      </c>
      <c r="P5" s="7" t="inlineStr">
        <is>
          <t>Call on Jan 16</t>
        </is>
      </c>
    </row>
    <row r="6">
      <c r="A6" s="2">
        <f>ROW()-1</f>
        <v/>
      </c>
      <c r="B6" s="3" t="inlineStr">
        <is>
          <t>FinanceWithKim</t>
        </is>
      </c>
      <c r="C6" s="3" t="inlineStr">
        <is>
          <t>YouTube</t>
        </is>
      </c>
      <c r="D6" s="3" t="inlineStr">
        <is>
          <t>Finance</t>
        </is>
      </c>
      <c r="E6" s="3" t="inlineStr">
        <is>
          <t>https://youtube.com/@financewithkim</t>
        </is>
      </c>
      <c r="F6" s="3" t="inlineStr">
        <is>
          <t>31000</t>
        </is>
      </c>
      <c r="G6" s="4" t="inlineStr">
        <is>
          <t>2024-10-28</t>
        </is>
      </c>
      <c r="H6" s="2">
        <f>IF(G6="","",TODAY()-G6)</f>
        <v/>
      </c>
      <c r="I6" s="3" t="inlineStr">
        <is>
          <t>Retention dropping per comments</t>
        </is>
      </c>
      <c r="J6" s="3" t="inlineStr">
        <is>
          <t>YouTube Comment</t>
        </is>
      </c>
      <c r="K6" s="4" t="inlineStr">
        <is>
          <t>2025-01-07</t>
        </is>
      </c>
      <c r="L6" s="3" t="inlineStr">
        <is>
          <t>Proposal Sent</t>
        </is>
      </c>
      <c r="M6" s="4" t="inlineStr">
        <is>
          <t>2025-01-12</t>
        </is>
      </c>
      <c r="N6" s="3" t="inlineStr">
        <is>
          <t>No</t>
        </is>
      </c>
      <c r="O6" s="5" t="n">
        <v>800</v>
      </c>
      <c r="P6" s="3" t="inlineStr">
        <is>
          <t>Waiting on decision</t>
        </is>
      </c>
    </row>
    <row r="7">
      <c r="A7" s="6">
        <f>ROW()-1</f>
        <v/>
      </c>
      <c r="B7" s="7" t="inlineStr">
        <is>
          <t>TechTalksNow</t>
        </is>
      </c>
      <c r="C7" s="7" t="inlineStr">
        <is>
          <t>YouTube</t>
        </is>
      </c>
      <c r="D7" s="7" t="inlineStr">
        <is>
          <t>Tech</t>
        </is>
      </c>
      <c r="E7" s="7" t="inlineStr">
        <is>
          <t>https://youtube.com/@techtalks</t>
        </is>
      </c>
      <c r="F7" s="7" t="inlineStr">
        <is>
          <t>7800</t>
        </is>
      </c>
      <c r="G7" s="8" t="inlineStr">
        <is>
          <t>2024-08-15</t>
        </is>
      </c>
      <c r="H7" s="6">
        <f>IF(G7="","",TODAY()-G7)</f>
        <v/>
      </c>
      <c r="I7" s="7" t="inlineStr">
        <is>
          <t>Posts 1x/month, wants 4x</t>
        </is>
      </c>
      <c r="J7" s="7" t="inlineStr">
        <is>
          <t>Cold Email</t>
        </is>
      </c>
      <c r="K7" s="8" t="inlineStr">
        <is>
          <t>2025-01-03</t>
        </is>
      </c>
      <c r="L7" s="7" t="inlineStr">
        <is>
          <t>Not Interested</t>
        </is>
      </c>
      <c r="M7" s="8" t="inlineStr">
        <is>
          <t>2025-01-08</t>
        </is>
      </c>
      <c r="N7" s="7" t="inlineStr">
        <is>
          <t>Yes</t>
        </is>
      </c>
      <c r="O7" s="9" t="n">
        <v>0</v>
      </c>
      <c r="P7" s="7" t="inlineStr">
        <is>
          <t>Too early stage</t>
        </is>
      </c>
    </row>
    <row r="8">
      <c r="A8" s="2">
        <f>ROW()-1</f>
        <v/>
      </c>
      <c r="B8" s="3" t="inlineStr">
        <is>
          <t>DrAnnaWellness</t>
        </is>
      </c>
      <c r="C8" s="3" t="inlineStr">
        <is>
          <t>Instagram</t>
        </is>
      </c>
      <c r="D8" s="3" t="inlineStr">
        <is>
          <t>Coaching</t>
        </is>
      </c>
      <c r="E8" s="3" t="inlineStr">
        <is>
          <t>https://instagram.com/drannawellness</t>
        </is>
      </c>
      <c r="F8" s="3" t="inlineStr">
        <is>
          <t>89000</t>
        </is>
      </c>
      <c r="G8" s="4" t="inlineStr">
        <is>
          <t>2024-12-10</t>
        </is>
      </c>
      <c r="H8" s="2">
        <f>IF(G8="","",TODAY()-G8)</f>
        <v/>
      </c>
      <c r="I8" s="3" t="inlineStr">
        <is>
          <t>No YouTube, wants to launch channel</t>
        </is>
      </c>
      <c r="J8" s="3" t="inlineStr">
        <is>
          <t>Instagram DM</t>
        </is>
      </c>
      <c r="K8" s="4" t="inlineStr">
        <is>
          <t>2025-01-12</t>
        </is>
      </c>
      <c r="L8" s="3" t="inlineStr">
        <is>
          <t>Replied</t>
        </is>
      </c>
      <c r="M8" s="4" t="inlineStr">
        <is>
          <t>2025-01-17</t>
        </is>
      </c>
      <c r="N8" s="3" t="inlineStr">
        <is>
          <t>No</t>
        </is>
      </c>
      <c r="O8" s="5" t="n">
        <v>1500</v>
      </c>
      <c r="P8" s="3" t="inlineStr">
        <is>
          <t>High budget potential</t>
        </is>
      </c>
    </row>
    <row r="9">
      <c r="A9" s="6">
        <f>ROW()-1</f>
        <v/>
      </c>
      <c r="B9" s="7" t="inlineStr">
        <is>
          <t>PropFlipperTom</t>
        </is>
      </c>
      <c r="C9" s="7" t="inlineStr">
        <is>
          <t>YouTube</t>
        </is>
      </c>
      <c r="D9" s="7" t="inlineStr">
        <is>
          <t>Real Estate</t>
        </is>
      </c>
      <c r="E9" s="7" t="inlineStr">
        <is>
          <t>https://youtube.com/@propflippertom</t>
        </is>
      </c>
      <c r="F9" s="7" t="inlineStr">
        <is>
          <t>3400</t>
        </is>
      </c>
      <c r="G9" s="8" t="inlineStr">
        <is>
          <t>2024-11-05</t>
        </is>
      </c>
      <c r="H9" s="6">
        <f>IF(G9="","",TODAY()-G9)</f>
        <v/>
      </c>
      <c r="I9" s="7" t="inlineStr">
        <is>
          <t>Low retention, boring pacing</t>
        </is>
      </c>
      <c r="J9" s="7" t="inlineStr">
        <is>
          <t>YouTube Comment</t>
        </is>
      </c>
      <c r="K9" s="8" t="inlineStr">
        <is>
          <t>2025-01-09</t>
        </is>
      </c>
      <c r="L9" s="7" t="inlineStr">
        <is>
          <t>DM Sent</t>
        </is>
      </c>
      <c r="M9" s="8" t="inlineStr">
        <is>
          <t>2025-01-14</t>
        </is>
      </c>
      <c r="N9" s="7" t="inlineStr">
        <is>
          <t>No</t>
        </is>
      </c>
      <c r="O9" s="9" t="n">
        <v>500</v>
      </c>
      <c r="P9" s="7" t="inlineStr"/>
    </row>
    <row r="10">
      <c r="A10" s="2">
        <f>ROW()-1</f>
        <v/>
      </c>
      <c r="B10" s="3" t="inlineStr">
        <is>
          <t>GrowthMindMike</t>
        </is>
      </c>
      <c r="C10" s="3" t="inlineStr">
        <is>
          <t>Twitter</t>
        </is>
      </c>
      <c r="D10" s="3" t="inlineStr">
        <is>
          <t>Business</t>
        </is>
      </c>
      <c r="E10" s="3" t="inlineStr">
        <is>
          <t>https://twitter.com/growthmindmike</t>
        </is>
      </c>
      <c r="F10" s="3" t="inlineStr">
        <is>
          <t>22000</t>
        </is>
      </c>
      <c r="G10" s="4" t="inlineStr">
        <is>
          <t>2024-12-15</t>
        </is>
      </c>
      <c r="H10" s="2">
        <f>IF(G10="","",TODAY()-G10)</f>
        <v/>
      </c>
      <c r="I10" s="3" t="inlineStr">
        <is>
          <t>Tweets about needing more consistency</t>
        </is>
      </c>
      <c r="J10" s="3" t="inlineStr">
        <is>
          <t>Twitter DM</t>
        </is>
      </c>
      <c r="K10" s="4" t="inlineStr">
        <is>
          <t>2025-01-06</t>
        </is>
      </c>
      <c r="L10" s="3" t="inlineStr">
        <is>
          <t>Not Contacted</t>
        </is>
      </c>
      <c r="M10" s="4" t="inlineStr">
        <is>
          <t>2025-01-18</t>
        </is>
      </c>
      <c r="N10" s="3" t="inlineStr">
        <is>
          <t>No</t>
        </is>
      </c>
      <c r="O10" s="5" t="n">
        <v>800</v>
      </c>
      <c r="P10" s="3" t="inlineStr">
        <is>
          <t>Hot lead</t>
        </is>
      </c>
    </row>
    <row r="11">
      <c r="A11" s="6">
        <f>ROW()-1</f>
        <v/>
      </c>
      <c r="B11" s="7" t="inlineStr">
        <is>
          <t>LifestyleWithLena</t>
        </is>
      </c>
      <c r="C11" s="7" t="inlineStr">
        <is>
          <t>YouTube</t>
        </is>
      </c>
      <c r="D11" s="7" t="inlineStr">
        <is>
          <t>Lifestyle</t>
        </is>
      </c>
      <c r="E11" s="7" t="inlineStr">
        <is>
          <t>https://youtube.com/@lifestylewithlena</t>
        </is>
      </c>
      <c r="F11" s="7" t="inlineStr">
        <is>
          <t>55000</t>
        </is>
      </c>
      <c r="G11" s="8" t="inlineStr">
        <is>
          <t>2024-10-22</t>
        </is>
      </c>
      <c r="H11" s="6">
        <f>IF(G11="","",TODAY()-G11)</f>
        <v/>
      </c>
      <c r="I11" s="7" t="inlineStr">
        <is>
          <t>Inconsistent uploads, high watch time</t>
        </is>
      </c>
      <c r="J11" s="7" t="inlineStr">
        <is>
          <t>Instagram DM</t>
        </is>
      </c>
      <c r="K11" s="8" t="inlineStr">
        <is>
          <t>2025-01-04</t>
        </is>
      </c>
      <c r="L11" s="7" t="inlineStr">
        <is>
          <t>Won</t>
        </is>
      </c>
      <c r="M11" s="8" t="inlineStr">
        <is>
          <t>2025-01-09</t>
        </is>
      </c>
      <c r="N11" s="7" t="inlineStr">
        <is>
          <t>Yes</t>
        </is>
      </c>
      <c r="O11" s="9" t="n">
        <v>1050</v>
      </c>
      <c r="P11" s="7" t="inlineStr">
        <is>
          <t>Monthly retainer active</t>
        </is>
      </c>
    </row>
  </sheetData>
  <autoFilter ref="A1:P1"/>
  <conditionalFormatting sqref="L2:L500">
    <cfRule type="cellIs" priority="1" operator="equal" dxfId="0">
      <formula>"Won"</formula>
    </cfRule>
    <cfRule type="cellIs" priority="2" operator="equal" dxfId="1">
      <formula>"Lost"</formula>
    </cfRule>
    <cfRule type="cellIs" priority="3" operator="equal" dxfId="2">
      <formula>"Replied"</formula>
    </cfRule>
    <cfRule type="cellIs" priority="4" operator="equal" dxfId="3">
      <formula>"Call Booked"</formula>
    </cfRule>
  </conditionalFormatting>
  <dataValidations count="5">
    <dataValidation sqref="C2:C500" showDropDown="0" showInputMessage="0" showErrorMessage="0" allowBlank="1" type="list">
      <formula1>"YouTube,Instagram,TikTok,LinkedIn,Twitter,Podcast,Other"</formula1>
    </dataValidation>
    <dataValidation sqref="D2:D500" showDropDown="0" showInputMessage="0" showErrorMessage="0" allowBlank="1" type="list">
      <formula1>"Business,Fitness,Finance,Coaching,Real Estate,Tech,Lifestyle,Other"</formula1>
    </dataValidation>
    <dataValidation sqref="J2:J500" showDropDown="0" showInputMessage="0" showErrorMessage="0" allowBlank="1" type="list">
      <formula1>"Instagram DM,YouTube Comment,Cold Email,LinkedIn DM,Twitter DM"</formula1>
    </dataValidation>
    <dataValidation sqref="L2:L500" showDropDown="0" showInputMessage="0" showErrorMessage="0" allowBlank="1" type="list">
      <formula1>"Not Contacted,DM Sent,Replied,Call Booked,Proposal Sent,Won,Lost,Not Interested"</formula1>
    </dataValidation>
    <dataValidation sqref="N2:N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0" t="inlineStr">
        <is>
          <t>PIPELINE SUMMARY</t>
        </is>
      </c>
    </row>
    <row r="2" ht="22" customHeight="1">
      <c r="A2" s="11" t="inlineStr">
        <is>
          <t>Total Leads</t>
        </is>
      </c>
      <c r="B2" s="12">
        <f>COUNTA(Leads!B:B)-1</f>
        <v/>
      </c>
    </row>
    <row r="3" ht="22" customHeight="1">
      <c r="A3" s="11" t="inlineStr">
        <is>
          <t>DMs Sent</t>
        </is>
      </c>
      <c r="B3" s="12">
        <f>COUNTIF(Leads!L:L,"DM Sent")</f>
        <v/>
      </c>
    </row>
    <row r="4" ht="22" customHeight="1">
      <c r="A4" s="11" t="inlineStr">
        <is>
          <t>Replied</t>
        </is>
      </c>
      <c r="B4" s="12">
        <f>COUNTIF(Leads!L:L,"Replied")</f>
        <v/>
      </c>
    </row>
    <row r="5" ht="22" customHeight="1">
      <c r="A5" s="11" t="inlineStr">
        <is>
          <t>Calls Booked</t>
        </is>
      </c>
      <c r="B5" s="12">
        <f>COUNTIF(Leads!L:L,"Call Booked")</f>
        <v/>
      </c>
    </row>
    <row r="6" ht="22" customHeight="1">
      <c r="A6" s="11" t="inlineStr">
        <is>
          <t>Proposals Sent</t>
        </is>
      </c>
      <c r="B6" s="12">
        <f>COUNTIF(Leads!L:L,"Proposal Sent")</f>
        <v/>
      </c>
    </row>
    <row r="7" ht="22" customHeight="1">
      <c r="A7" s="11" t="inlineStr">
        <is>
          <t>Won</t>
        </is>
      </c>
      <c r="B7" s="12">
        <f>COUNTIF(Leads!L:L,"Won")</f>
        <v/>
      </c>
    </row>
    <row r="8" ht="22" customHeight="1">
      <c r="A8" s="11" t="inlineStr">
        <is>
          <t>Lost</t>
        </is>
      </c>
      <c r="B8" s="12">
        <f>COUNTIF(Leads!L:L,"Lost")</f>
        <v/>
      </c>
    </row>
    <row r="9" ht="22" customHeight="1">
      <c r="A9" s="11" t="inlineStr">
        <is>
          <t>Reply Rate</t>
        </is>
      </c>
      <c r="B9" s="13">
        <f>IF(B3=0,"",B4/B3)</f>
        <v/>
      </c>
    </row>
    <row r="10" ht="22" customHeight="1">
      <c r="A10" s="11" t="inlineStr">
        <is>
          <t>Win Rate (of total)</t>
        </is>
      </c>
      <c r="B10" s="13">
        <f>IF(B3=0,"",B7/B3)</f>
        <v/>
      </c>
    </row>
    <row r="12" ht="22" customHeight="1">
      <c r="A12" s="14" t="inlineStr">
        <is>
          <t>Total Pipeline Value</t>
        </is>
      </c>
      <c r="B12" s="15">
        <f>SUMIF(Leads!L:L,"Proposal Sent",Leads!O:O)+SUMIF(Leads!L:L,"Won",Leads!O:O)</f>
        <v/>
      </c>
    </row>
    <row r="13" ht="22" customHeight="1">
      <c r="A13" s="14" t="inlineStr">
        <is>
          <t>Total Won Revenue</t>
        </is>
      </c>
      <c r="B13" s="15">
        <f>SUMIF(Leads!L:L,"Won",Leads!O:O)</f>
        <v/>
      </c>
    </row>
    <row r="15" ht="22" customHeight="1">
      <c r="A15" s="11" t="inlineStr">
        <is>
          <t>Follow-ups Due Today</t>
        </is>
      </c>
      <c r="B15" s="12">
        <f>COUNTIFS(Leads!M:M,"&lt;="&amp;TODAY(),Leads!N:N,"No")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6" customWidth="1" min="4" max="4"/>
    <col width="14" customWidth="1" min="5" max="5"/>
    <col width="30" customWidth="1" min="6" max="6"/>
  </cols>
  <sheetData>
    <row r="1">
      <c r="A1" s="16" t="inlineStr">
        <is>
          <t>FOLLOW-UP QUEUE</t>
        </is>
      </c>
    </row>
    <row r="2">
      <c r="A2" s="17" t="inlineStr">
        <is>
          <t>Filter the Leads sheet: Status ≠ Won/Lost/Not Interested  |  Follow-up Date ≤ Today  |  Follow-up Done = No</t>
        </is>
      </c>
    </row>
    <row r="3">
      <c r="A3" s="18" t="inlineStr">
        <is>
          <t>#</t>
        </is>
      </c>
      <c r="B3" s="18" t="inlineStr">
        <is>
          <t>Creator / Channel</t>
        </is>
      </c>
      <c r="C3" s="18" t="inlineStr">
        <is>
          <t>Platform</t>
        </is>
      </c>
      <c r="D3" s="18" t="inlineStr">
        <is>
          <t>Status</t>
        </is>
      </c>
      <c r="E3" s="18" t="inlineStr">
        <is>
          <t>Follow-up Date</t>
        </is>
      </c>
      <c r="F3" s="18" t="inlineStr">
        <is>
          <t>Notes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2026-06-15T15:09:48Z</dcterms:created>
  <dcterms:modified xsi:type="dcterms:W3CDTF">2026-06-15T15:09:48Z</dcterms:modified>
</cp:coreProperties>
</file>